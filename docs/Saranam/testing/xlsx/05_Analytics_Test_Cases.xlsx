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 Info" sheetId="1" state="visible" r:id="rId1"/>
    <sheet xmlns:r="http://schemas.openxmlformats.org/officeDocument/2006/relationships" name="Test Cases" sheetId="2" state="visible" r:id="rId2"/>
  </sheets>
  <definedNames>
    <definedName name="_xlnm._FilterDatabase" localSheetId="1" hidden="1">'Test Cases'!$A$1:$P$58</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0"/>
    </font>
    <font>
      <sz val="9"/>
    </font>
    <font>
      <b val="1"/>
      <sz val="9"/>
    </font>
    <font>
      <b val="1"/>
      <color rgb="009C0006"/>
      <sz val="9"/>
    </font>
    <font>
      <b val="1"/>
      <color rgb="009C6500"/>
      <sz val="9"/>
    </font>
    <font>
      <b val="1"/>
      <color rgb="00375623"/>
      <sz val="9"/>
    </font>
    <font>
      <b val="1"/>
      <color rgb="00FFFFFF"/>
      <sz val="14"/>
    </font>
    <font>
      <b val="1"/>
      <sz val="10"/>
    </font>
    <font>
      <sz val="10"/>
    </font>
  </fonts>
  <fills count="6">
    <fill>
      <patternFill/>
    </fill>
    <fill>
      <patternFill patternType="gray125"/>
    </fill>
    <fill>
      <patternFill patternType="solid">
        <fgColor rgb="001F3864"/>
      </patternFill>
    </fill>
    <fill>
      <patternFill patternType="solid">
        <fgColor rgb="00F2F6FC"/>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7" fillId="2" borderId="0" applyAlignment="1" pivotButton="0" quotePrefix="0" xfId="0">
      <alignment horizontal="left" vertical="center" indent="1"/>
    </xf>
    <xf numFmtId="0" fontId="8" fillId="5" borderId="0" applyAlignment="1" pivotButton="0" quotePrefix="0" xfId="0">
      <alignment vertical="top" wrapText="1"/>
    </xf>
    <xf numFmtId="0" fontId="9" fillId="0" borderId="0" applyAlignment="1" pivotButton="0" quotePrefix="0" xfId="0">
      <alignment vertical="top" wrapText="1"/>
    </xf>
    <xf numFmtId="0" fontId="8" fillId="5" borderId="0" pivotButton="0" quotePrefix="0" xfId="0"/>
    <xf numFmtId="0" fontId="9" fillId="0" borderId="0" pivotButton="0" quotePrefix="0" xfId="0"/>
    <xf numFmtId="164" fontId="9"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2" fillId="4" borderId="1" applyAlignment="1" pivotButton="0" quotePrefix="0" xfId="0">
      <alignment horizontal="left" vertical="top" wrapText="1"/>
    </xf>
    <xf numFmtId="0" fontId="2" fillId="4"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horizontal="left" vertical="top" wrapText="1"/>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5" fillId="3" borderId="1" applyAlignment="1" pivotButton="0" quotePrefix="0" xfId="0">
      <alignment horizontal="center" vertical="top"/>
    </xf>
    <xf numFmtId="0" fontId="6" fillId="0" borderId="1" applyAlignment="1" pivotButton="0" quotePrefix="0" xfId="0">
      <alignment horizontal="center" vertical="top"/>
    </xf>
    <xf numFmtId="0" fontId="6" fillId="3" borderId="1" applyAlignment="1" pivotButton="0" quotePrefix="0" xfId="0">
      <alignment horizontal="center" vertical="top"/>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ont>
        <b val="1"/>
        <color rgb="009C6500"/>
      </font>
      <fill>
        <patternFill patternType="solid">
          <fgColor rgb="00FFEB9C"/>
        </patternFill>
      </fill>
    </dxf>
    <dxf>
      <font>
        <color rgb="0059595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26" customWidth="1" min="1" max="1"/>
    <col width="95" customWidth="1" min="2" max="2"/>
  </cols>
  <sheetData>
    <row r="1" ht="26" customHeight="1">
      <c r="A1" s="1" t="inlineStr">
        <is>
          <t>Analytics  —  Manual Test Plan</t>
        </is>
      </c>
    </row>
    <row r="2" ht="18" customHeight="1">
      <c r="A2" s="2" t="inlineStr">
        <is>
          <t>Platform</t>
        </is>
      </c>
      <c r="B2" s="3" t="inlineStr">
        <is>
          <t>Saranam India Health Care  (https://saranam.fieldintel.ai)</t>
        </is>
      </c>
    </row>
    <row r="3" ht="18" customHeight="1">
      <c r="A3" s="2" t="inlineStr">
        <is>
          <t>Module Code</t>
        </is>
      </c>
      <c r="B3" s="3" t="inlineStr">
        <is>
          <t>ANL</t>
        </is>
      </c>
    </row>
    <row r="4" ht="18" customHeight="1">
      <c r="A4" s="2" t="inlineStr">
        <is>
          <t>Document Version</t>
        </is>
      </c>
      <c r="B4" s="3" t="inlineStr">
        <is>
          <t>1.0</t>
        </is>
      </c>
    </row>
    <row r="5" ht="18" customHeight="1">
      <c r="A5" s="2" t="inlineStr">
        <is>
          <t>Total Test Cases</t>
        </is>
      </c>
      <c r="B5" s="3" t="inlineStr">
        <is>
          <t>57</t>
        </is>
      </c>
    </row>
    <row r="6" ht="18" customHeight="1">
      <c r="A6" s="2" t="inlineStr">
        <is>
          <t>Test Type</t>
        </is>
      </c>
      <c r="B6" s="3" t="inlineStr">
        <is>
          <t>Manual</t>
        </is>
      </c>
    </row>
    <row r="7" ht="18" customHeight="1">
      <c r="A7" s="2" t="inlineStr">
        <is>
          <t>Prepared / Reviewed</t>
        </is>
      </c>
      <c r="B7" s="3" t="inlineStr">
        <is>
          <t>____________________     Date: ____________</t>
        </is>
      </c>
    </row>
    <row r="9" ht="26" customHeight="1">
      <c r="A9" s="1" t="inlineStr">
        <is>
          <t>1. Scope</t>
        </is>
      </c>
    </row>
    <row r="10" ht="150" customHeight="1">
      <c r="A10" s="2" t="inlineStr">
        <is>
          <t>Summary</t>
        </is>
      </c>
      <c r="B10" s="3" t="inlineStr">
        <is>
          <t>Manual GO-LIVE test pack for the Saranam India Health Care Analytics module. Covers the Analytics Dashboard shell at /analytics (permission guard view_analytics), tab/view navigation, the four LIVE views (Patient Analysis, Form Analysis, Vitals Analysis, Donor/ToC Analytics), the shared DateRangePicker (presets + custom calendar), the patient-type filter, Refresh, the ExportButton (PDF + CSV), the donor sub-controls (period selector, demo/real-data toggle, Refresh, browser-print PDF), and every backend endpoint in app/analytics/routes.py reachable from the UI. Includes loading/skeleton states, empty-data states, API 4xx/5xx/timeout error handling, permission/session checks, and cross-module data-integrity checks. The /analytics/forms and /analytics/forms/:formId Advanced Form Analytics sub-pages are covered only with light load/guard cases — deep form-analytics testing is OUT OF SCOPE for this engagement.</t>
        </is>
      </c>
    </row>
    <row r="11" ht="160" customHeight="1">
      <c r="A11" s="2" t="inlineStr">
        <is>
          <t>In Scope</t>
        </is>
      </c>
      <c r="B11" s="3" t="inlineStr">
        <is>
          <t>• Permission guard on /analytics: ProtectedRoute requiredPermission="view_analytics" — access granted with the permission, Access Denied / login redirect without it
• Analytics Dashboard shell: header title + dynamic subtitle, tab toggle group (Patient, Forms, Vitals, Donor/ToC), default view on load (Patient), per-view sub-controls visibility
• Patient Analysis view: Total/New/Total-Forms StatCards, Palliative Outcomes cards (Deaths 30d, Avg Visits Before Death), Deaths Over Time line chart, Age Distribution bar, Gender Distribution pie, Registration Trends line, embedded Vitals Analysis block; GET /analytics/dashboard + GET /analytics/deaths/impact
• Form Analysis view: Total Forms / Total Submissions / Completion Rate / Avg Completion Time StatCards, Completion Funnel, Submission Status pie, Top Forms bar, Submission Trends line, 'Advanced Form Analytics Hub' button; GET /analytics/forms
• Vitals Analysis view (own tab + embedded under Patient): Patients Tracked / Deaths / Avg Visits KPI cards, Vitals Distribution chart with 7 vital toggles, Vitals vs ESAS/PPS correlation chart with ESAS/PPS switch; GET /analytics/vitals/summary, /vitals/distribution, /vitals/correlation, /deaths/impact
• Donor / ToC Analytics view: 12 StatTiles, period selector (daily/monthly/quarterly/yearly), demo-data/real-data toggle, Refresh, browser-print PDF, Time-to-first-visit, Deaths by location, Visits-over-time stacked bar, KMs/week, Deaths over time, Consultation mix, Opioid/Telemedicine timelines, Follow-ups, Place-of-death-by-zone, Enrolment-to-death, Vehicle utilization; all 14 GET /analytics/donor/* endpoints
• Shared DateRangePicker: 6 quick presets (Last 7 days / 30 days / 3 months / 6 months / 12 months / Year-to-date), custom 2-month range calendar, future dates disabled, data refresh on range change, default Last-12-months range
• Patient-type filter (All / New / Active) on the Patient view and its patient_type query param
• Refresh button (re-fetch current view) and loading spinner / skeleton behaviour
• ExportButton: Export dropdown, PDF Report (jsPDF) and CSV Data download for Patient and Form views; export content reflects current data and date range
• Auth header attachment (Bearer access_token) on every analytics request and 401 behaviour
• Cross-module data integrity: analytics figures vs Patients module counts; newly added data appears after refresh
• Light coverage of /analytics/forms (Advanced Form Analytics Hub) and /analytics/forms/:formId load + permission guard</t>
        </is>
      </c>
    </row>
    <row r="12" ht="160" customHeight="1">
      <c r="A12" s="2" t="inlineStr">
        <is>
          <t>Out of Scope</t>
        </is>
      </c>
      <c r="B12" s="3" t="inlineStr">
        <is>
          <t>• Deep Advanced Form Analytics testing (FormAnalyticsHub, FormDeepDiveView, FieldDropoffFunnel, FieldValueDistribution, UsageHeatmap and the /analytics/forms/advanced/* endpoints) — only that /analytics/forms and /analytics/forms/:formId load and are permission-guarded is in scope
• Hidden / commented-out analytics views (Symptoms, Risk, Geospatial, Provider Optimization, Clinical Outcomes, Operational/Financial) — their tabs and conditional renders are commented out in AnalyticsDashboard.jsx and are NOT reachable from the UI; their endpoints exist on the backend but are not exercised by the shipped UI
• Backend endpoints with no live UI caller: /analytics/patients/demographics, /analytics/trends/registration, /analytics/reports/user-activity, /analytics/reports/form-comparison, /analytics/custom, /analytics/export, /analytics/symptoms/*, /analytics/risk/*, /analytics/geo/*, /analytics/optimization/*, /analytics/clinical/*, /analytics/operational/* (documented for reference only)
• Byte-level correctness of generated PDF / CSV files (only that download triggers and opens, and headline figures are present)
• Statistical / clinical accuracy of the underlying analytics computations (only that the API returns and the chart renders the returned numbers)
• Login screen internals (only redirect-to-login behaviour on missing permission / expired session is covered)
• Map tile rendering / Leaflet internals (Geospatial view is hidden and out of scope)</t>
        </is>
      </c>
    </row>
    <row r="14" ht="26" customHeight="1">
      <c r="A14" s="1" t="inlineStr">
        <is>
          <t>2. Roles &amp; Access</t>
        </is>
      </c>
    </row>
    <row r="15" ht="160" customHeight="1">
      <c r="A15" s="2" t="inlineStr">
        <is>
          <t>Access</t>
        </is>
      </c>
      <c r="B15" s="3" t="inlineStr">
        <is>
          <t>All three analytics routes (/analytics, /analytics/forms, /analytics/forms/:formId) are wrapped in ProtectedRoute with requiredPermission="view_analytics". A logged-in user WITH the view_analytics permission sees the dashboard; a logged-in user WITHOUT it is shown the in-app 'Access Denied — You don't have permission to access this page.' panel (ProtectedRoute). An unauthenticated user (no user in AuthContext) is redirected to /login. Every analytics API request requires a valid JWT in the Authorization Bearer header; the backend routes are decorated with @require_auth and return 401 when the token is missing/invalid. NOTE: the AnalyticsDashboard, VitalsAnalysisView and DonorAnalyticsView issue their data calls with a RAW axios instance + manually attached localStorage access_token (VITE_API_BASE_URL), NOT the shared apiClient — so the automatic 401 refresh-and-retry interceptor in api/client.js does NOT apply to these calls; an expired token surfaces as an error state rather than a silent token refresh.</t>
        </is>
      </c>
    </row>
    <row r="17" ht="26" customHeight="1">
      <c r="A17" s="1" t="inlineStr">
        <is>
          <t>3. Screens &amp; Routes</t>
        </is>
      </c>
    </row>
    <row r="18" ht="18" customHeight="1">
      <c r="A18" s="2" t="inlineStr">
        <is>
          <t>Analytics Dashboard (Patient / Forms / Vitals / Donor-ToC tabs)</t>
        </is>
      </c>
      <c r="B18" s="3" t="inlineStr">
        <is>
          <t>/analytics</t>
        </is>
      </c>
    </row>
    <row r="19" ht="18" customHeight="1">
      <c r="A19" s="2" t="inlineStr">
        <is>
          <t>Advanced Form Analytics Hub (light coverage only)</t>
        </is>
      </c>
      <c r="B19" s="3" t="inlineStr">
        <is>
          <t>/analytics/forms</t>
        </is>
      </c>
    </row>
    <row r="20" ht="18" customHeight="1">
      <c r="A20" s="2" t="inlineStr">
        <is>
          <t>Form Deep-Dive (light coverage only)</t>
        </is>
      </c>
      <c r="B20" s="3" t="inlineStr">
        <is>
          <t>/analytics/forms/:formId</t>
        </is>
      </c>
    </row>
    <row r="22" ht="26" customHeight="1">
      <c r="A22" s="1" t="inlineStr">
        <is>
          <t>4. API Endpoints</t>
        </is>
      </c>
    </row>
    <row r="23" ht="60" customHeight="1">
      <c r="A23" s="2" t="inlineStr">
        <is>
          <t>GET  /api/analytics/dashboard</t>
        </is>
      </c>
      <c r="B23" s="3" t="inlineStr">
        <is>
          <t>Patient-view metrics. Query: start_date, end_date (sent as full ISO timestamps by the UI), patient_type (new|active when filter != all), filters (JSON). Returns summary{total_patients,new_patients,active_patients,total_forms,growth_rate}, demographics{age_distribution,gender_distribution}, trends{registration_over_time,...}. 200 ok; 500 {error} on failure.</t>
        </is>
      </c>
    </row>
    <row r="24" ht="45" customHeight="1">
      <c r="A24" s="2" t="inlineStr">
        <is>
          <t>GET  /api/analytics/deaths/impact</t>
        </is>
      </c>
      <c r="B24" s="3" t="inlineStr">
        <is>
          <t>Palliative outcome KPIs. Query window_days (default 30, must be 1..3650 else 400). Returns deaths_in_window, avg_visits_before_death, deaths_by_month, deceased_patients. Used by Patient view + Vitals view.</t>
        </is>
      </c>
    </row>
    <row r="25" ht="45" customHeight="1">
      <c r="A25" s="2" t="inlineStr">
        <is>
          <t>GET  /api/analytics/forms</t>
        </is>
      </c>
      <c r="B25" s="3" t="inlineStr">
        <is>
          <t>Form-view analytics. Query start_date, end_date. Returns summary{total_forms,total_submissions,average_completion_rate,average_completion_time_minutes}, status_breakdown, top_forms, submission_trends, completion_funnel. 200 ok; 500 {error}.</t>
        </is>
      </c>
    </row>
    <row r="26" ht="30" customHeight="1">
      <c r="A26" s="2" t="inlineStr">
        <is>
          <t>GET  /api/analytics/vitals/summary</t>
        </is>
      </c>
      <c r="B26" s="3" t="inlineStr">
        <is>
          <t>Population vitals improvement summary. Returns {success,data:{total_patients_with_vitals,vitals_summary{...}}}. Powers Patients-Tracked KPI + improvement aggregates.</t>
        </is>
      </c>
    </row>
    <row r="27" ht="45" customHeight="1">
      <c r="A27" s="2" t="inlineStr">
        <is>
          <t>GET  /api/analytics/vitals/distribution</t>
        </is>
      </c>
      <c r="B27" s="3" t="inlineStr">
        <is>
          <t>Distribution of latest vital values across patients, keyed by vital (bp_systolic, bp_diastolic, pr, spo2, temperature, rr, grbs) with buckets, normal_range, unit, total. Powers the Vitals Distribution chart.</t>
        </is>
      </c>
    </row>
    <row r="28" ht="45" customHeight="1">
      <c r="A28" s="2" t="inlineStr">
        <is>
          <t>GET  /api/analytics/vitals/correlation</t>
        </is>
      </c>
      <c r="B28" s="3" t="inlineStr">
        <is>
          <t>Correlate vitals change vs ESAS/PPS score change. Query score_type=esas|pps (default esas). Returns correlations{vital:{improved/stable/deteriorated:{avg_score_change}}}, patients_with_both.</t>
        </is>
      </c>
    </row>
    <row r="29" ht="45" customHeight="1">
      <c r="A29" s="2" t="inlineStr">
        <is>
          <t>GET  /api/analytics/vitals/top-movers</t>
        </is>
      </c>
      <c r="B29" s="3" t="inlineStr">
        <is>
          <t>Most improved/deteriorated patients. Query direction=improved|deteriorated, limit (default 10). Defined in api/analytics.js but the UI fetch is commented out — endpoint exists, no live caller.</t>
        </is>
      </c>
    </row>
    <row r="30" ht="30" customHeight="1">
      <c r="A30" s="2" t="inlineStr">
        <is>
          <t>GET  /api/analytics/donor/overview</t>
        </is>
      </c>
      <c r="B30" s="3" t="inlineStr">
        <is>
          <t>Donor StatTiles + previous-period deltas. Query start_date, end_date (YYYY-MM-DD). 400 on bad date; 500 {error}.</t>
        </is>
      </c>
    </row>
    <row r="31" ht="30" customHeight="1">
      <c r="A31" s="2" t="inlineStr">
        <is>
          <t>GET  /api/analytics/donor/visits-timeline</t>
        </is>
      </c>
      <c r="B31" s="3" t="inlineStr">
        <is>
          <t>Bucketed visit counts split by visit_location (home/opd/ipd/phone). Query start_date,end_date,period (daily|monthly|quarterly|yearly).</t>
        </is>
      </c>
    </row>
    <row r="32" ht="18" customHeight="1">
      <c r="A32" s="2" t="inlineStr">
        <is>
          <t>GET  /api/analytics/donor/deaths-timeline</t>
        </is>
      </c>
      <c r="B32" s="3" t="inlineStr">
        <is>
          <t>Bucketed raw death counts (no spike suppression). Query start_date,end_date,period.</t>
        </is>
      </c>
    </row>
    <row r="33" ht="18" customHeight="1">
      <c r="A33" s="2" t="inlineStr">
        <is>
          <t>GET  /api/analytics/donor/consultations-mix</t>
        </is>
      </c>
      <c r="B33" s="3" t="inlineStr">
        <is>
          <t>Team-role encounter counts across visits in the period. Query start_date,end_date.</t>
        </is>
      </c>
    </row>
    <row r="34" ht="18" customHeight="1">
      <c r="A34" s="2" t="inlineStr">
        <is>
          <t>GET  /api/analytics/donor/distance-timeline</t>
        </is>
      </c>
      <c r="B34" s="3" t="inlineStr">
        <is>
          <t>Estimated KMs/week from approved weekly schedules. Query start_date,end_date.</t>
        </is>
      </c>
    </row>
    <row r="35" ht="30" customHeight="1">
      <c r="A35" s="2" t="inlineStr">
        <is>
          <t>GET  /api/analytics/donor/opioid-usage</t>
        </is>
      </c>
      <c r="B35" s="3" t="inlineStr">
        <is>
          <t>Opioid/morphine usage: distinct-patient count + dispensation timeline. Query start_date,end_date,period.</t>
        </is>
      </c>
    </row>
    <row r="36" ht="18" customHeight="1">
      <c r="A36" s="2" t="inlineStr">
        <is>
          <t>GET  /api/analytics/donor/telemedicine-timeline</t>
        </is>
      </c>
      <c r="B36" s="3" t="inlineStr">
        <is>
          <t>Teleconsult session counts (video+voice). Query start_date,end_date,period.</t>
        </is>
      </c>
    </row>
    <row r="37" ht="30" customHeight="1">
      <c r="A37" s="2" t="inlineStr">
        <is>
          <t>GET  /api/analytics/donor/multidisciplinary</t>
        </is>
      </c>
      <c r="B37" s="3" t="inlineStr">
        <is>
          <t>Avg distinct team-roles per home visit + multi-disciplinary visit %. Query start_date,end_date.</t>
        </is>
      </c>
    </row>
    <row r="38" ht="30" customHeight="1">
      <c r="A38" s="2" t="inlineStr">
        <is>
          <t>GET  /api/analytics/donor/followups</t>
        </is>
      </c>
      <c r="B38" s="3" t="inlineStr">
        <is>
          <t>Patients receiving follow-up visits + follow-up volume timeline. Query start_date,end_date,period.</t>
        </is>
      </c>
    </row>
    <row r="39" ht="30" customHeight="1">
      <c r="A39" s="2" t="inlineStr">
        <is>
          <t>GET  /api/analytics/donor/place-of-death-by-zone</t>
        </is>
      </c>
      <c r="B39" s="3" t="inlineStr">
        <is>
          <t>Deceased counts grouped by (zone, place_of_death); also totals_by_place/totals_by_zone/grand_total. Query start_date,end_date.</t>
        </is>
      </c>
    </row>
    <row r="40" ht="30" customHeight="1">
      <c r="A40" s="2" t="inlineStr">
        <is>
          <t>GET  /api/analytics/donor/loss-to-followup</t>
        </is>
      </c>
      <c r="B40" s="3" t="inlineStr">
        <is>
          <t>Active alive patients with no completed visit in N+ days. Query threshold_days (default 60), limit (default 50). Note: UI calls this WITHOUT period/date params.</t>
        </is>
      </c>
    </row>
    <row r="41" ht="30" customHeight="1">
      <c r="A41" s="2" t="inlineStr">
        <is>
          <t>GET  /api/analytics/donor/vehicle-utilization</t>
        </is>
      </c>
      <c r="B41" s="3" t="inlineStr">
        <is>
          <t>Per-vehicle weekly slot count + utilization % vs target. Query start_date,end_date,target_slots_per_week (default 25).</t>
        </is>
      </c>
    </row>
    <row r="42" ht="30" customHeight="1">
      <c r="A42" s="2" t="inlineStr">
        <is>
          <t>GET  /api/analytics/donor/enrollment-to-death</t>
        </is>
      </c>
      <c r="B42" s="3" t="inlineStr">
        <is>
          <t>Distribution of days from enrolment to death; flags late-referral patterns. Query start_date,end_date.</t>
        </is>
      </c>
    </row>
    <row r="43" ht="30" customHeight="1">
      <c r="A43" s="2" t="inlineStr">
        <is>
          <t>GET  /api/analytics/donor/registration-to-first-visit</t>
        </is>
      </c>
      <c r="B43" s="3" t="inlineStr">
        <is>
          <t>Time from registration to first completed visit in home-care days. Query start_date,end_date,target_homecare_days (default 8, must be 1..365 else 400).</t>
        </is>
      </c>
    </row>
    <row r="44" ht="18" customHeight="1">
      <c r="A44" s="2" t="inlineStr">
        <is>
          <t>GET  /api/analytics/forms/advanced/:formId/overview</t>
        </is>
      </c>
      <c r="B44" s="3" t="inlineStr">
        <is>
          <t>(OUT OF SCOPE / light) Advanced form overview for /analytics/forms deep-dive.</t>
        </is>
      </c>
    </row>
    <row r="45" ht="18" customHeight="1">
      <c r="A45" s="2" t="inlineStr">
        <is>
          <t>GET  /api/analytics/forms/advanced/:formId/funnel</t>
        </is>
      </c>
      <c r="B45" s="3" t="inlineStr">
        <is>
          <t>(OUT OF SCOPE / light) Field drop-off funnel for a form.</t>
        </is>
      </c>
    </row>
    <row r="46" ht="18" customHeight="1">
      <c r="A46" s="2" t="inlineStr">
        <is>
          <t>GET  /api/analytics/forms/advanced/:formId/heatmap</t>
        </is>
      </c>
      <c r="B46" s="3" t="inlineStr">
        <is>
          <t>(OUT OF SCOPE / light) Day-vs-hour usage heatmap for a form.</t>
        </is>
      </c>
    </row>
    <row r="47" ht="18" customHeight="1">
      <c r="A47" s="2" t="inlineStr">
        <is>
          <t>GET  /api/analytics/forms/advanced/:formId/fields/:fieldId/distribution</t>
        </is>
      </c>
      <c r="B47" s="3" t="inlineStr">
        <is>
          <t>(OUT OF SCOPE / light) Value distribution for a field. Query field_type.</t>
        </is>
      </c>
    </row>
    <row r="49" ht="26" customHeight="1">
      <c r="A49" s="1" t="inlineStr">
        <is>
          <t>5. Test Data / Preconditions</t>
        </is>
      </c>
    </row>
    <row r="50" ht="160" customHeight="1">
      <c r="A50" s="2" t="inlineStr">
        <is>
          <t>Setup</t>
        </is>
      </c>
      <c r="B50" s="3" t="inlineStr">
        <is>
          <t>• Account A — 'analyst@saranam.test': logged-in user WHOSE role/permission set INCLUDES view_analytics (e.g. admin or analytics-enabled role).
• Account B — 'fieldnurse@saranam.test': logged-in user WHOSE role/permission set does NOT include view_analytics (to verify Access Denied).
• At least ~30-50 patients in the database spanning multiple age bands (e.g. Infant 0-1, Adult, Senior, Super-senior 80+), both genders, and an 'Unknown (no DOB)' band; registered across 2025-06 to 2026-05 so registration-trend and demographic charts are non-trivial.
• At least a handful of deceased patients within the last 30 days (with visits logged before death) so Deaths(30d) and Avg-Visits-Before-Death are non-zero; plus deceased patients with enrolment dates and place_of_death + zone for donor charts.
• Patients with both initial and follow-up vitals (BP, PR, SpO2, temperature, RR, GRBS) and ESAS/PPS scores so vitals summary/distribution/correlation return data.
• Visits across home/opd/ipd/phone locations, some with team_members carrying role labels, plus teleconsult sessions and opioid (narcotic) dispensations so the donor timelines are populated.
• Approved weekly schedules with vehicles assigned (e.g. KA-01-AB-1234) so distance + vehicle-utilization charts render.
• Several published forms with submissions in varied statuses (draft/submitted/verified) within the test window for the Form view.
• Known reference counts noted before testing: exact total patient count from the Patients module list (for data-integrity comparison) and the count of patients registered in a chosen month.
• A test window of interest: 2026-01-01 to 2026-05-31 (custom range) and the default Last-12-months (2025-06-01 to 2026-06-01).
• Browser DevTools available (Network + Console tabs) to verify API calls, query params, status codes, and to simulate offline/throttled/blocked responses.
• Production URL https://saranam.fieldintel.ai reachable; today's date treated as 2026-06-01.</t>
        </is>
      </c>
    </row>
    <row r="52" ht="26" customHeight="1">
      <c r="A52" s="1" t="inlineStr">
        <is>
          <t>6. Execution Summary  (auto-calculated)</t>
        </is>
      </c>
    </row>
    <row r="53">
      <c r="A53" s="4" t="inlineStr">
        <is>
          <t>Total Cases</t>
        </is>
      </c>
      <c r="B53" s="5">
        <f>COUNTA('Test Cases'!A2:A58)</f>
        <v/>
      </c>
    </row>
    <row r="54">
      <c r="A54" s="4" t="inlineStr">
        <is>
          <t>Pass</t>
        </is>
      </c>
      <c r="B54" s="5">
        <f>COUNTIF('Test Cases'!L2:L58,"Pass")</f>
        <v/>
      </c>
    </row>
    <row r="55">
      <c r="A55" s="4" t="inlineStr">
        <is>
          <t>Fail</t>
        </is>
      </c>
      <c r="B55" s="5">
        <f>COUNTIF('Test Cases'!L2:L58,"Fail")</f>
        <v/>
      </c>
    </row>
    <row r="56">
      <c r="A56" s="4" t="inlineStr">
        <is>
          <t>Blocked</t>
        </is>
      </c>
      <c r="B56" s="5">
        <f>COUNTIF('Test Cases'!L2:L58,"Blocked")</f>
        <v/>
      </c>
    </row>
    <row r="57">
      <c r="A57" s="4" t="inlineStr">
        <is>
          <t>N/A</t>
        </is>
      </c>
      <c r="B57" s="5">
        <f>COUNTIF('Test Cases'!L2:L58,"N/A")</f>
        <v/>
      </c>
    </row>
    <row r="58">
      <c r="A58" s="4" t="inlineStr">
        <is>
          <t>Not Executed</t>
        </is>
      </c>
      <c r="B58" s="5">
        <f>COUNTIF('Test Cases'!L2:L58,"Not Executed")</f>
        <v/>
      </c>
    </row>
    <row r="59">
      <c r="A59" s="4" t="inlineStr">
        <is>
          <t>% Executed</t>
        </is>
      </c>
      <c r="B59" s="6">
        <f>IF(B53=0,0,(B53-COUNTIF('Test Cases'!L2:L58,"Not Executed"))/B53)</f>
        <v/>
      </c>
    </row>
    <row r="60">
      <c r="A60" s="4" t="inlineStr">
        <is>
          <t>% Pass (of executed)</t>
        </is>
      </c>
      <c r="B60" s="6">
        <f>IFERROR(B54/(B53-B58),0)</f>
        <v/>
      </c>
    </row>
    <row r="62" ht="26" customHeight="1">
      <c r="A62" s="1" t="inlineStr">
        <is>
          <t>7. Defect Severity Legend</t>
        </is>
      </c>
    </row>
    <row r="63" ht="18" customHeight="1">
      <c r="A63" s="2" t="inlineStr">
        <is>
          <t>Critical</t>
        </is>
      </c>
      <c r="B63" s="3" t="inlineStr">
        <is>
          <t>Blocks core workflow / data loss / security breach; no workaround. Fix before go-live.</t>
        </is>
      </c>
    </row>
    <row r="64" ht="18" customHeight="1">
      <c r="A64" s="2" t="inlineStr">
        <is>
          <t>High</t>
        </is>
      </c>
      <c r="B64" s="3" t="inlineStr">
        <is>
          <t>Major feature broken or incorrect; workaround difficult. Fix before go-live.</t>
        </is>
      </c>
    </row>
    <row r="65" ht="18" customHeight="1">
      <c r="A65" s="2" t="inlineStr">
        <is>
          <t>Medium</t>
        </is>
      </c>
      <c r="B65" s="3" t="inlineStr">
        <is>
          <t>Feature works with a usable workaround or minor data issue.</t>
        </is>
      </c>
    </row>
    <row r="66" ht="18" customHeight="1">
      <c r="A66" s="2" t="inlineStr">
        <is>
          <t>Low</t>
        </is>
      </c>
      <c r="B66" s="3" t="inlineStr">
        <is>
          <t>Cosmetic / minor UI / wording. Backlog.</t>
        </is>
      </c>
    </row>
    <row r="68" ht="26" customHeight="1">
      <c r="A68" s="1" t="inlineStr">
        <is>
          <t>8. Status Values</t>
        </is>
      </c>
    </row>
    <row r="69" ht="45" customHeight="1">
      <c r="A69" s="2" t="inlineStr">
        <is>
          <t>Pass / Fail / Blocked / N/A / Not Executed</t>
        </is>
      </c>
      <c r="B69" s="3" t="inlineStr">
        <is>
          <t>Pass = behaves as expected. Fail = does not match Expected Result (log Severity + Remarks/Defect ID). Blocked = cannot test due to a dependency/defect. N/A = not applicable in this environment. Not Executed = not yet run (default).</t>
        </is>
      </c>
    </row>
  </sheetData>
  <mergeCells count="9">
    <mergeCell ref="A62:B62"/>
    <mergeCell ref="A52:B52"/>
    <mergeCell ref="A68:B68"/>
    <mergeCell ref="A49:B49"/>
    <mergeCell ref="A14:B14"/>
    <mergeCell ref="A1:B1"/>
    <mergeCell ref="A17:B17"/>
    <mergeCell ref="A9:B9"/>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34" customWidth="1" min="3" max="3"/>
    <col width="9" customWidth="1" min="4" max="4"/>
    <col width="13" customWidth="1" min="5" max="5"/>
    <col width="26" customWidth="1" min="6" max="6"/>
    <col width="50" customWidth="1" min="7" max="7"/>
    <col width="24" customWidth="1" min="8" max="8"/>
    <col width="44" customWidth="1" min="9" max="9"/>
    <col width="30" customWidth="1" min="10" max="10"/>
    <col width="30" customWidth="1" min="11" max="11"/>
    <col width="14" customWidth="1" min="12" max="12"/>
    <col width="11" customWidth="1" min="13" max="13"/>
    <col width="14" customWidth="1" min="14" max="14"/>
    <col width="13" customWidth="1" min="15" max="15"/>
    <col width="30" customWidth="1" min="16" max="16"/>
  </cols>
  <sheetData>
    <row r="1" ht="30" customHeight="1">
      <c r="A1" s="7" t="inlineStr">
        <is>
          <t>Test Case ID</t>
        </is>
      </c>
      <c r="B1" s="7" t="inlineStr">
        <is>
          <t>Section / Feature</t>
        </is>
      </c>
      <c r="C1" s="7" t="inlineStr">
        <is>
          <t>Test Title</t>
        </is>
      </c>
      <c r="D1" s="7" t="inlineStr">
        <is>
          <t>Priority</t>
        </is>
      </c>
      <c r="E1" s="7" t="inlineStr">
        <is>
          <t>Type</t>
        </is>
      </c>
      <c r="F1" s="7" t="inlineStr">
        <is>
          <t>Preconditions</t>
        </is>
      </c>
      <c r="G1" s="7" t="inlineStr">
        <is>
          <t>Test Steps</t>
        </is>
      </c>
      <c r="H1" s="7" t="inlineStr">
        <is>
          <t>Test Data</t>
        </is>
      </c>
      <c r="I1" s="7" t="inlineStr">
        <is>
          <t>Expected Result</t>
        </is>
      </c>
      <c r="J1" s="7" t="inlineStr">
        <is>
          <t>API Reference</t>
        </is>
      </c>
      <c r="K1" s="7" t="inlineStr">
        <is>
          <t>Actual Result</t>
        </is>
      </c>
      <c r="L1" s="7" t="inlineStr">
        <is>
          <t>Status</t>
        </is>
      </c>
      <c r="M1" s="7" t="inlineStr">
        <is>
          <t>Severity</t>
        </is>
      </c>
      <c r="N1" s="7" t="inlineStr">
        <is>
          <t>Tested By</t>
        </is>
      </c>
      <c r="O1" s="7" t="inlineStr">
        <is>
          <t>Date Tested</t>
        </is>
      </c>
      <c r="P1" s="7" t="inlineStr">
        <is>
          <t>Remarks / Defect ID</t>
        </is>
      </c>
    </row>
    <row r="2" ht="75" customHeight="1">
      <c r="A2" s="8" t="inlineStr">
        <is>
          <t>ANL-001</t>
        </is>
      </c>
      <c r="B2" s="9" t="inlineStr">
        <is>
          <t>Permission &amp; Access</t>
        </is>
      </c>
      <c r="C2" s="9" t="inlineStr">
        <is>
          <t>User WITH view_analytics permission can open /analytics</t>
        </is>
      </c>
      <c r="D2" s="10" t="inlineStr">
        <is>
          <t>High</t>
        </is>
      </c>
      <c r="E2" s="9" t="inlineStr">
        <is>
          <t>Permission</t>
        </is>
      </c>
      <c r="F2" s="9" t="inlineStr">
        <is>
          <t>Logged in as Account A (has view_analytics).</t>
        </is>
      </c>
      <c r="G2" s="9" t="inlineStr">
        <is>
          <t>1. Log in as Account A.
2. Navigate to /analytics (via the Analytics nav item or direct URL).
3. Observe the page.</t>
        </is>
      </c>
      <c r="H2" s="9" t="inlineStr">
        <is>
          <t>analyst@saranam.test</t>
        </is>
      </c>
      <c r="I2" s="9" t="inlineStr">
        <is>
          <t>The Analytics Dashboard renders: 'Analytics Dashboard' title, the tab toggle group (Patient, Forms, Vitals, Donor / ToC), date controls and the Patient view content. No Access Denied panel.</t>
        </is>
      </c>
      <c r="J2" s="9" t="inlineStr">
        <is>
          <t>GET /api/analytics/dashboard</t>
        </is>
      </c>
      <c r="K2" s="11" t="inlineStr"/>
      <c r="L2" s="12" t="inlineStr">
        <is>
          <t>Not Executed</t>
        </is>
      </c>
      <c r="M2" s="12" t="inlineStr"/>
      <c r="N2" s="12" t="inlineStr"/>
      <c r="O2" s="12" t="inlineStr"/>
      <c r="P2" s="11" t="inlineStr"/>
    </row>
    <row r="3" ht="60" customHeight="1">
      <c r="A3" s="8" t="inlineStr">
        <is>
          <t>ANL-002</t>
        </is>
      </c>
      <c r="B3" s="9" t="inlineStr">
        <is>
          <t>Permission &amp; Access</t>
        </is>
      </c>
      <c r="C3" s="9" t="inlineStr">
        <is>
          <t>User WITHOUT view_analytics permission is blocked</t>
        </is>
      </c>
      <c r="D3" s="10" t="inlineStr">
        <is>
          <t>High</t>
        </is>
      </c>
      <c r="E3" s="9" t="inlineStr">
        <is>
          <t>Permission</t>
        </is>
      </c>
      <c r="F3" s="9" t="inlineStr">
        <is>
          <t>Logged in as Account B (no view_analytics).</t>
        </is>
      </c>
      <c r="G3" s="9" t="inlineStr">
        <is>
          <t>1. Log in as Account B.
2. Attempt to open /analytics via direct URL.
3. Observe the page.</t>
        </is>
      </c>
      <c r="H3" s="9" t="inlineStr">
        <is>
          <t>fieldnurse@saranam.test</t>
        </is>
      </c>
      <c r="I3" s="9" t="inlineStr">
        <is>
          <t>ProtectedRoute renders the 'Access Denied — You don't have permission to access this page.' panel. The dashboard content and any analytics API call are NOT made.</t>
        </is>
      </c>
      <c r="J3" s="9" t="inlineStr">
        <is>
          <t>N/A</t>
        </is>
      </c>
      <c r="K3" s="11" t="inlineStr"/>
      <c r="L3" s="12" t="inlineStr">
        <is>
          <t>Not Executed</t>
        </is>
      </c>
      <c r="M3" s="12" t="inlineStr"/>
      <c r="N3" s="12" t="inlineStr"/>
      <c r="O3" s="12" t="inlineStr"/>
      <c r="P3" s="11" t="inlineStr"/>
    </row>
    <row r="4" ht="60" customHeight="1">
      <c r="A4" s="8" t="inlineStr">
        <is>
          <t>ANL-003</t>
        </is>
      </c>
      <c r="B4" s="9" t="inlineStr">
        <is>
          <t>Permission &amp; Access</t>
        </is>
      </c>
      <c r="C4" s="9" t="inlineStr">
        <is>
          <t>Unauthenticated access to /analytics redirects to login</t>
        </is>
      </c>
      <c r="D4" s="10" t="inlineStr">
        <is>
          <t>High</t>
        </is>
      </c>
      <c r="E4" s="9" t="inlineStr">
        <is>
          <t>Permission</t>
        </is>
      </c>
      <c r="F4" s="9" t="inlineStr">
        <is>
          <t>No active session (localStorage cleared / logged out).</t>
        </is>
      </c>
      <c r="G4" s="9" t="inlineStr">
        <is>
          <t>1. Clear localStorage (access_token, refresh_token, user) or log out.
2. Open /analytics directly.
3. Observe navigation.</t>
        </is>
      </c>
      <c r="H4" s="9" t="inlineStr">
        <is>
          <t>N/A</t>
        </is>
      </c>
      <c r="I4" s="9" t="inlineStr">
        <is>
          <t>ProtectedRoute finds no user and redirects to /login (Navigate replace). The Analytics Dashboard is not shown.</t>
        </is>
      </c>
      <c r="J4" s="9" t="inlineStr">
        <is>
          <t>N/A</t>
        </is>
      </c>
      <c r="K4" s="11" t="inlineStr"/>
      <c r="L4" s="12" t="inlineStr">
        <is>
          <t>Not Executed</t>
        </is>
      </c>
      <c r="M4" s="12" t="inlineStr"/>
      <c r="N4" s="12" t="inlineStr"/>
      <c r="O4" s="12" t="inlineStr"/>
      <c r="P4" s="11" t="inlineStr"/>
    </row>
    <row r="5" ht="105" customHeight="1">
      <c r="A5" s="8" t="inlineStr">
        <is>
          <t>ANL-004</t>
        </is>
      </c>
      <c r="B5" s="9" t="inlineStr">
        <is>
          <t>Permission &amp; Access</t>
        </is>
      </c>
      <c r="C5" s="9" t="inlineStr">
        <is>
          <t>Analytics API requires a valid Bearer token (401 when missing)</t>
        </is>
      </c>
      <c r="D5" s="10" t="inlineStr">
        <is>
          <t>High</t>
        </is>
      </c>
      <c r="E5" s="9" t="inlineStr">
        <is>
          <t>API</t>
        </is>
      </c>
      <c r="F5" s="9" t="inlineStr">
        <is>
          <t>Account A logged in; DevTools available.</t>
        </is>
      </c>
      <c r="G5" s="9" t="inlineStr">
        <is>
          <t>1. Open /analytics.
2. In DevTools, manually delete/blank the access_token in localStorage, then trigger a refresh of the Patient view (Refresh button or change date range).
3. Inspect the /api/analytics/dashboard request and response.</t>
        </is>
      </c>
      <c r="H5" s="9" t="inlineStr">
        <is>
          <t>N/A</t>
        </is>
      </c>
      <c r="I5" s="9" t="inlineStr">
        <is>
          <t>Request goes out with an invalid/empty Authorization header; backend (@require_auth) returns 401. The dashboard shows the red 'Error loading dashboard' panel with a 'Try Again' button (no app crash). NOTE: because the dashboard uses raw axios, the apiClient 401 refresh-and-retry does NOT run.</t>
        </is>
      </c>
      <c r="J5" s="9" t="inlineStr">
        <is>
          <t>GET /api/analytics/dashboard</t>
        </is>
      </c>
      <c r="K5" s="11" t="inlineStr"/>
      <c r="L5" s="12" t="inlineStr">
        <is>
          <t>Not Executed</t>
        </is>
      </c>
      <c r="M5" s="12" t="inlineStr"/>
      <c r="N5" s="12" t="inlineStr"/>
      <c r="O5" s="12" t="inlineStr"/>
      <c r="P5" s="11" t="inlineStr"/>
    </row>
    <row r="6" ht="90" customHeight="1">
      <c r="A6" s="13" t="inlineStr">
        <is>
          <t>ANL-005</t>
        </is>
      </c>
      <c r="B6" s="14" t="inlineStr">
        <is>
          <t>Dashboard Shell</t>
        </is>
      </c>
      <c r="C6" s="14" t="inlineStr">
        <is>
          <t>Default view on load is Patient with Last-12-months range</t>
        </is>
      </c>
      <c r="D6" s="15" t="inlineStr">
        <is>
          <t>High</t>
        </is>
      </c>
      <c r="E6" s="14" t="inlineStr">
        <is>
          <t>Functional</t>
        </is>
      </c>
      <c r="F6" s="14" t="inlineStr">
        <is>
          <t>Account A logged in.</t>
        </is>
      </c>
      <c r="G6" s="14" t="inlineStr">
        <is>
          <t>1. Open /analytics fresh.
2. Observe which tab is active and the date range shown in the picker.</t>
        </is>
      </c>
      <c r="H6" s="14" t="inlineStr">
        <is>
          <t>N/A</t>
        </is>
      </c>
      <c r="I6" s="14" t="inlineStr">
        <is>
          <t>The 'Patient' tab is active (highlighted) by default. The DateRangePicker shows a range from ~12 months ago to today (e.g. Jun 1, 2025 - Jun 1, 2026). The patient-type filter (All Patients) is visible only on this view.</t>
        </is>
      </c>
      <c r="J6" s="14" t="inlineStr">
        <is>
          <t>GET /api/analytics/dashboard, GET /api/analytics/deaths/impact</t>
        </is>
      </c>
      <c r="K6" s="11" t="inlineStr"/>
      <c r="L6" s="12" t="inlineStr">
        <is>
          <t>Not Executed</t>
        </is>
      </c>
      <c r="M6" s="12" t="inlineStr"/>
      <c r="N6" s="12" t="inlineStr"/>
      <c r="O6" s="12" t="inlineStr"/>
      <c r="P6" s="11" t="inlineStr"/>
    </row>
    <row r="7" ht="120" customHeight="1">
      <c r="A7" s="13" t="inlineStr">
        <is>
          <t>ANL-006</t>
        </is>
      </c>
      <c r="B7" s="14" t="inlineStr">
        <is>
          <t>Dashboard Shell</t>
        </is>
      </c>
      <c r="C7" s="14" t="inlineStr">
        <is>
          <t>Tab navigation switches between all four live views</t>
        </is>
      </c>
      <c r="D7" s="15" t="inlineStr">
        <is>
          <t>High</t>
        </is>
      </c>
      <c r="E7" s="14" t="inlineStr">
        <is>
          <t>Functional</t>
        </is>
      </c>
      <c r="F7" s="14" t="inlineStr">
        <is>
          <t>Account A on /analytics.</t>
        </is>
      </c>
      <c r="G7" s="14" t="inlineStr">
        <is>
          <t>1. Click the 'Forms' tab; observe content and subtitle.
2. Click the 'Vitals' tab; observe content.
3. Click the 'Donor / ToC' tab; observe content.
4. Click back to 'Patient'.</t>
        </is>
      </c>
      <c r="H7" s="14" t="inlineStr">
        <is>
          <t>N/A</t>
        </is>
      </c>
      <c r="I7" s="14" t="inlineStr">
        <is>
          <t>Each click activates the corresponding tab (highlighted) and renders that view's content. The header subtitle updates per view (e.g. 'form usage and completion', 'vital sign trends and clinical correlations', 'Theory of Change-aligned stewardship', 'patient demographics and operational'). Only one view is visible at a time.</t>
        </is>
      </c>
      <c r="J7" s="14" t="inlineStr">
        <is>
          <t>GET /api/analytics/dashboard, GET /api/analytics/forms, GET /api/analytics/vitals/summary, GET /api/analytics/donor/overview</t>
        </is>
      </c>
      <c r="K7" s="11" t="inlineStr"/>
      <c r="L7" s="12" t="inlineStr">
        <is>
          <t>Not Executed</t>
        </is>
      </c>
      <c r="M7" s="12" t="inlineStr"/>
      <c r="N7" s="12" t="inlineStr"/>
      <c r="O7" s="12" t="inlineStr"/>
      <c r="P7" s="11" t="inlineStr"/>
    </row>
    <row r="8" ht="90" customHeight="1">
      <c r="A8" s="13" t="inlineStr">
        <is>
          <t>ANL-007</t>
        </is>
      </c>
      <c r="B8" s="14" t="inlineStr">
        <is>
          <t>Dashboard Shell</t>
        </is>
      </c>
      <c r="C8" s="14" t="inlineStr">
        <is>
          <t>Only Patient / Forms / Vitals / Donor tabs are present (hidden views absent)</t>
        </is>
      </c>
      <c r="D8" s="16" t="inlineStr">
        <is>
          <t>Medium</t>
        </is>
      </c>
      <c r="E8" s="14" t="inlineStr">
        <is>
          <t>UI/UX</t>
        </is>
      </c>
      <c r="F8" s="14" t="inlineStr">
        <is>
          <t>Account A on /analytics.</t>
        </is>
      </c>
      <c r="G8" s="14" t="inlineStr">
        <is>
          <t>1. Inspect the tab toggle group.
2. Confirm which tab buttons are rendered.</t>
        </is>
      </c>
      <c r="H8" s="14" t="inlineStr">
        <is>
          <t>N/A</t>
        </is>
      </c>
      <c r="I8" s="14" t="inlineStr">
        <is>
          <t>Exactly four tab buttons render: Patient, Forms, Vitals, Donor / ToC. The Symptoms, Risk, Geospatial, Optimization, Outcomes and Financial tabs are NOT present (commented out in code) and there is no way to reach those views from the UI.</t>
        </is>
      </c>
      <c r="J8" s="14" t="inlineStr">
        <is>
          <t>N/A</t>
        </is>
      </c>
      <c r="K8" s="11" t="inlineStr"/>
      <c r="L8" s="12" t="inlineStr">
        <is>
          <t>Not Executed</t>
        </is>
      </c>
      <c r="M8" s="12" t="inlineStr"/>
      <c r="N8" s="12" t="inlineStr"/>
      <c r="O8" s="12" t="inlineStr"/>
      <c r="P8" s="11" t="inlineStr"/>
    </row>
    <row r="9" ht="90" customHeight="1">
      <c r="A9" s="13" t="inlineStr">
        <is>
          <t>ANL-008</t>
        </is>
      </c>
      <c r="B9" s="14" t="inlineStr">
        <is>
          <t>Dashboard Shell</t>
        </is>
      </c>
      <c r="C9" s="14" t="inlineStr">
        <is>
          <t>Loading skeletons appear while patient data is fetched</t>
        </is>
      </c>
      <c r="D9" s="16" t="inlineStr">
        <is>
          <t>Medium</t>
        </is>
      </c>
      <c r="E9" s="14" t="inlineStr">
        <is>
          <t>UI/UX</t>
        </is>
      </c>
      <c r="F9" s="14" t="inlineStr">
        <is>
          <t>Account A; DevTools Network throttling set to Slow 3G.</t>
        </is>
      </c>
      <c r="G9" s="14" t="inlineStr">
        <is>
          <t>1. Throttle the network in DevTools.
2. Open /analytics (Patient view).
3. Observe the StatCards and ChartCards during the fetch.</t>
        </is>
      </c>
      <c r="H9" s="14" t="inlineStr">
        <is>
          <t>N/A</t>
        </is>
      </c>
      <c r="I9" s="14" t="inlineStr">
        <is>
          <t>While loading, StatCards and ChartCards show skeleton placeholders (grey shimmer blocks) instead of values/charts; once /analytics/dashboard resolves, real values and charts replace them. The Refresh icon spins while loading.</t>
        </is>
      </c>
      <c r="J9" s="14" t="inlineStr">
        <is>
          <t>GET /api/analytics/dashboard</t>
        </is>
      </c>
      <c r="K9" s="11" t="inlineStr"/>
      <c r="L9" s="12" t="inlineStr">
        <is>
          <t>Not Executed</t>
        </is>
      </c>
      <c r="M9" s="12" t="inlineStr"/>
      <c r="N9" s="12" t="inlineStr"/>
      <c r="O9" s="12" t="inlineStr"/>
      <c r="P9" s="11" t="inlineStr"/>
    </row>
    <row r="10" ht="75" customHeight="1">
      <c r="A10" s="13" t="inlineStr">
        <is>
          <t>ANL-009</t>
        </is>
      </c>
      <c r="B10" s="14" t="inlineStr">
        <is>
          <t>Dashboard Shell</t>
        </is>
      </c>
      <c r="C10" s="14" t="inlineStr">
        <is>
          <t>Dashboard error panel renders when /analytics/dashboard fails (500)</t>
        </is>
      </c>
      <c r="D10" s="15" t="inlineStr">
        <is>
          <t>High</t>
        </is>
      </c>
      <c r="E10" s="14" t="inlineStr">
        <is>
          <t>Negative</t>
        </is>
      </c>
      <c r="F10" s="14" t="inlineStr">
        <is>
          <t>Account A; ability to force the dashboard call to fail (DevTools request block or backend 500).</t>
        </is>
      </c>
      <c r="G10" s="14" t="inlineStr">
        <is>
          <t>1. Open /analytics.
2. Block or force a 500 on GET /api/analytics/dashboard, then click Refresh.
3. Observe the page.</t>
        </is>
      </c>
      <c r="H10" s="14" t="inlineStr">
        <is>
          <t>N/A</t>
        </is>
      </c>
      <c r="I10" s="14" t="inlineStr">
        <is>
          <t>The page shows the red 'Error loading dashboard' box with the server error message and a 'Try Again' button. No blank screen or JS crash. Clicking 'Try Again' re-issues the fetch.</t>
        </is>
      </c>
      <c r="J10" s="14" t="inlineStr">
        <is>
          <t>GET /api/analytics/dashboard</t>
        </is>
      </c>
      <c r="K10" s="11" t="inlineStr"/>
      <c r="L10" s="12" t="inlineStr">
        <is>
          <t>Not Executed</t>
        </is>
      </c>
      <c r="M10" s="12" t="inlineStr"/>
      <c r="N10" s="12" t="inlineStr"/>
      <c r="O10" s="12" t="inlineStr"/>
      <c r="P10" s="11" t="inlineStr"/>
    </row>
    <row r="11" ht="90" customHeight="1">
      <c r="A11" s="13" t="inlineStr">
        <is>
          <t>ANL-010</t>
        </is>
      </c>
      <c r="B11" s="14" t="inlineStr">
        <is>
          <t>Dashboard Shell</t>
        </is>
      </c>
      <c r="C11" s="14" t="inlineStr">
        <is>
          <t>Refresh button re-fetches the active view</t>
        </is>
      </c>
      <c r="D11" s="16" t="inlineStr">
        <is>
          <t>Medium</t>
        </is>
      </c>
      <c r="E11" s="14" t="inlineStr">
        <is>
          <t>Functional</t>
        </is>
      </c>
      <c r="F11" s="14" t="inlineStr">
        <is>
          <t>Account A on /analytics (Patient view); DevTools Network open.</t>
        </is>
      </c>
      <c r="G11" s="14" t="inlineStr">
        <is>
          <t>1. Note the current /api/analytics/dashboard request in Network.
2. Click the circular Refresh (RefreshCw) button.
3. Observe Network and the spinner.</t>
        </is>
      </c>
      <c r="H11" s="14" t="inlineStr">
        <is>
          <t>N/A</t>
        </is>
      </c>
      <c r="I11" s="14" t="inlineStr">
        <is>
          <t>A fresh GET /api/analytics/dashboard fires with the same current params; the Refresh icon spins (animate-spin) and is disabled while loading; data re-renders on completion. On the Forms tab the same button refetches /api/analytics/forms.</t>
        </is>
      </c>
      <c r="J11" s="14" t="inlineStr">
        <is>
          <t>GET /api/analytics/dashboard</t>
        </is>
      </c>
      <c r="K11" s="11" t="inlineStr"/>
      <c r="L11" s="12" t="inlineStr">
        <is>
          <t>Not Executed</t>
        </is>
      </c>
      <c r="M11" s="12" t="inlineStr"/>
      <c r="N11" s="12" t="inlineStr"/>
      <c r="O11" s="12" t="inlineStr"/>
      <c r="P11" s="11" t="inlineStr"/>
    </row>
    <row r="12" ht="90" customHeight="1">
      <c r="A12" s="8" t="inlineStr">
        <is>
          <t>ANL-011</t>
        </is>
      </c>
      <c r="B12" s="9" t="inlineStr">
        <is>
          <t>Patient Analysis View</t>
        </is>
      </c>
      <c r="C12" s="9" t="inlineStr">
        <is>
          <t>Summary StatCards render correct headline figures</t>
        </is>
      </c>
      <c r="D12" s="10" t="inlineStr">
        <is>
          <t>High</t>
        </is>
      </c>
      <c r="E12" s="9" t="inlineStr">
        <is>
          <t>Functional</t>
        </is>
      </c>
      <c r="F12" s="9" t="inlineStr">
        <is>
          <t>Account A on Patient view with data present.</t>
        </is>
      </c>
      <c r="G12" s="9" t="inlineStr">
        <is>
          <t>1. Open /analytics (Patient).
2. Read the three top StatCards: Total Patients, New Patients, Total Forms.
3. Compare values to the /api/analytics/dashboard summary in Network.</t>
        </is>
      </c>
      <c r="H12" s="9" t="inlineStr">
        <is>
          <t>N/A</t>
        </is>
      </c>
      <c r="I12" s="9" t="inlineStr">
        <is>
          <t>Total Patients = summary.total_patients, New Patients = summary.new_patients (with a growth_rate trend badge vs last month), Total Forms = summary.total_forms, all locale-formatted (e.g. 1,234). Values match the API JSON exactly.</t>
        </is>
      </c>
      <c r="J12" s="9" t="inlineStr">
        <is>
          <t>GET /api/analytics/dashboard</t>
        </is>
      </c>
      <c r="K12" s="11" t="inlineStr"/>
      <c r="L12" s="12" t="inlineStr">
        <is>
          <t>Not Executed</t>
        </is>
      </c>
      <c r="M12" s="12" t="inlineStr"/>
      <c r="N12" s="12" t="inlineStr"/>
      <c r="O12" s="12" t="inlineStr"/>
      <c r="P12" s="11" t="inlineStr"/>
    </row>
    <row r="13" ht="90" customHeight="1">
      <c r="A13" s="8" t="inlineStr">
        <is>
          <t>ANL-012</t>
        </is>
      </c>
      <c r="B13" s="9" t="inlineStr">
        <is>
          <t>Patient Analysis View</t>
        </is>
      </c>
      <c r="C13" s="9" t="inlineStr">
        <is>
          <t>Palliative Outcomes cards reflect deaths/impact (window_days=30)</t>
        </is>
      </c>
      <c r="D13" s="10" t="inlineStr">
        <is>
          <t>High</t>
        </is>
      </c>
      <c r="E13" s="9" t="inlineStr">
        <is>
          <t>Functional</t>
        </is>
      </c>
      <c r="F13" s="9" t="inlineStr">
        <is>
          <t>Account A; at least one death recorded in last 30 days.</t>
        </is>
      </c>
      <c r="G13" s="9" t="inlineStr">
        <is>
          <t>1. Open /analytics (Patient).
2. Read the 'Deaths (Last 30 Days)' and 'Avg Visits Before Death' cards.
3. Inspect the GET /api/analytics/deaths/impact?window_days=30 response.</t>
        </is>
      </c>
      <c r="H13" s="9" t="inlineStr">
        <is>
          <t>window_days=30</t>
        </is>
      </c>
      <c r="I13" s="9" t="inlineStr">
        <is>
          <t>Deaths (Last 30 Days) = deaths_in_window; Avg Visits Before Death = avg_visits_before_death formatted to 1 decimal. These cards fetch independently and keep their own loading skeleton; a deaths/impact failure does NOT blank the other StatCards.</t>
        </is>
      </c>
      <c r="J13" s="9" t="inlineStr">
        <is>
          <t>GET /api/analytics/deaths/impact</t>
        </is>
      </c>
      <c r="K13" s="11" t="inlineStr"/>
      <c r="L13" s="12" t="inlineStr">
        <is>
          <t>Not Executed</t>
        </is>
      </c>
      <c r="M13" s="12" t="inlineStr"/>
      <c r="N13" s="12" t="inlineStr"/>
      <c r="O13" s="12" t="inlineStr"/>
      <c r="P13" s="11" t="inlineStr"/>
    </row>
    <row r="14" ht="75" customHeight="1">
      <c r="A14" s="8" t="inlineStr">
        <is>
          <t>ANL-013</t>
        </is>
      </c>
      <c r="B14" s="9" t="inlineStr">
        <is>
          <t>Patient Analysis View</t>
        </is>
      </c>
      <c r="C14" s="9" t="inlineStr">
        <is>
          <t>Deaths Over Time line chart renders monthly series</t>
        </is>
      </c>
      <c r="D14" s="17" t="inlineStr">
        <is>
          <t>Medium</t>
        </is>
      </c>
      <c r="E14" s="9" t="inlineStr">
        <is>
          <t>Functional</t>
        </is>
      </c>
      <c r="F14" s="9" t="inlineStr">
        <is>
          <t>Account A; deaths recorded across multiple months.</t>
        </is>
      </c>
      <c r="G14" s="9" t="inlineStr">
        <is>
          <t>1. Open /analytics (Patient).
2. Locate the 'Deaths Over Time' chart.
3. Hover data points.</t>
        </is>
      </c>
      <c r="H14" s="9" t="inlineStr">
        <is>
          <t>N/A</t>
        </is>
      </c>
      <c r="I14" s="9" t="inlineStr">
        <is>
          <t>A red line chart plots deaths_by_month (month on X, count on Y, integer Y axis). Hover tooltip shows the death count labelled 'Deaths'. Description reads 'Monthly deaths in the last 12 months'.</t>
        </is>
      </c>
      <c r="J14" s="9" t="inlineStr">
        <is>
          <t>GET /api/analytics/deaths/impact</t>
        </is>
      </c>
      <c r="K14" s="11" t="inlineStr"/>
      <c r="L14" s="12" t="inlineStr">
        <is>
          <t>Not Executed</t>
        </is>
      </c>
      <c r="M14" s="12" t="inlineStr"/>
      <c r="N14" s="12" t="inlineStr"/>
      <c r="O14" s="12" t="inlineStr"/>
      <c r="P14" s="11" t="inlineStr"/>
    </row>
    <row r="15" ht="105" customHeight="1">
      <c r="A15" s="8" t="inlineStr">
        <is>
          <t>ANL-014</t>
        </is>
      </c>
      <c r="B15" s="9" t="inlineStr">
        <is>
          <t>Patient Analysis View</t>
        </is>
      </c>
      <c r="C15" s="9" t="inlineStr">
        <is>
          <t>Age Distribution bar chart shows banded labels with ranges</t>
        </is>
      </c>
      <c r="D15" s="17" t="inlineStr">
        <is>
          <t>Medium</t>
        </is>
      </c>
      <c r="E15" s="9" t="inlineStr">
        <is>
          <t>Functional</t>
        </is>
      </c>
      <c r="F15" s="9" t="inlineStr">
        <is>
          <t>Account A; patients across multiple age bands incl. an Unknown (no DOB) band.</t>
        </is>
      </c>
      <c r="G15" s="9" t="inlineStr">
        <is>
          <t>1. Open /analytics (Patient).
2. Inspect the 'Age Distribution' bar chart X-axis labels and bar heights.
3. Compare to demographics.age_distribution in the API.</t>
        </is>
      </c>
      <c r="H15" s="9" t="inlineStr">
        <is>
          <t>N/A</t>
        </is>
      </c>
      <c r="I15" s="9" t="inlineStr">
        <is>
          <t>Each bar's X label is the band name plus numeric range (e.g. 'Infant (0-1)', 'Super senior (80+)') when min_age is present, and 'Unknown (no DOB)' unchanged. Bar counts equal demographics.age_distribution[].count. Labels are angled -30deg and all show (interval=0).</t>
        </is>
      </c>
      <c r="J15" s="9" t="inlineStr">
        <is>
          <t>GET /api/analytics/dashboard</t>
        </is>
      </c>
      <c r="K15" s="11" t="inlineStr"/>
      <c r="L15" s="12" t="inlineStr">
        <is>
          <t>Not Executed</t>
        </is>
      </c>
      <c r="M15" s="12" t="inlineStr"/>
      <c r="N15" s="12" t="inlineStr"/>
      <c r="O15" s="12" t="inlineStr"/>
      <c r="P15" s="11" t="inlineStr"/>
    </row>
    <row r="16" ht="75" customHeight="1">
      <c r="A16" s="8" t="inlineStr">
        <is>
          <t>ANL-015</t>
        </is>
      </c>
      <c r="B16" s="9" t="inlineStr">
        <is>
          <t>Patient Analysis View</t>
        </is>
      </c>
      <c r="C16" s="9" t="inlineStr">
        <is>
          <t>Gender Distribution pie shows percentage labels and Unknown handling</t>
        </is>
      </c>
      <c r="D16" s="17" t="inlineStr">
        <is>
          <t>Medium</t>
        </is>
      </c>
      <c r="E16" s="9" t="inlineStr">
        <is>
          <t>Functional</t>
        </is>
      </c>
      <c r="F16" s="9" t="inlineStr">
        <is>
          <t>Account A; patients of both genders + at least one null gender.</t>
        </is>
      </c>
      <c r="G16" s="9" t="inlineStr">
        <is>
          <t>1. Open /analytics (Patient).
2. Inspect the 'Gender Distribution' pie slices and labels.
3. Hover a slice.</t>
        </is>
      </c>
      <c r="H16" s="9" t="inlineStr">
        <is>
          <t>N/A</t>
        </is>
      </c>
      <c r="I16" s="9" t="inlineStr">
        <is>
          <t>Pie slices map to gender_distribution; each label reads 'Name: percentage%'. A null/blank gender renders as 'Unknown'. Slice values equal item.count and percentages match the API percentage field.</t>
        </is>
      </c>
      <c r="J16" s="9" t="inlineStr">
        <is>
          <t>GET /api/analytics/dashboard</t>
        </is>
      </c>
      <c r="K16" s="11" t="inlineStr"/>
      <c r="L16" s="12" t="inlineStr">
        <is>
          <t>Not Executed</t>
        </is>
      </c>
      <c r="M16" s="12" t="inlineStr"/>
      <c r="N16" s="12" t="inlineStr"/>
      <c r="O16" s="12" t="inlineStr"/>
      <c r="P16" s="11" t="inlineStr"/>
    </row>
    <row r="17" ht="60" customHeight="1">
      <c r="A17" s="8" t="inlineStr">
        <is>
          <t>ANL-016</t>
        </is>
      </c>
      <c r="B17" s="9" t="inlineStr">
        <is>
          <t>Patient Analysis View</t>
        </is>
      </c>
      <c r="C17" s="9" t="inlineStr">
        <is>
          <t>Registration Trends line chart plots registrations over time</t>
        </is>
      </c>
      <c r="D17" s="17" t="inlineStr">
        <is>
          <t>Medium</t>
        </is>
      </c>
      <c r="E17" s="9" t="inlineStr">
        <is>
          <t>Functional</t>
        </is>
      </c>
      <c r="F17" s="9" t="inlineStr">
        <is>
          <t>Account A; registrations spread over the period.</t>
        </is>
      </c>
      <c r="G17" s="9" t="inlineStr">
        <is>
          <t>1. Open /analytics (Patient).
2. Inspect 'Patient Registration Trends'.
3. Compare to trends.registration_over_time.</t>
        </is>
      </c>
      <c r="H17" s="9" t="inlineStr">
        <is>
          <t>N/A</t>
        </is>
      </c>
      <c r="I17" s="9" t="inlineStr">
        <is>
          <t>Line chart with month on X and New-Patients count on Y, matching trends.registration_over_time[].month/.count. Hover tooltip shows the count.</t>
        </is>
      </c>
      <c r="J17" s="9" t="inlineStr">
        <is>
          <t>GET /api/analytics/dashboard</t>
        </is>
      </c>
      <c r="K17" s="11" t="inlineStr"/>
      <c r="L17" s="12" t="inlineStr">
        <is>
          <t>Not Executed</t>
        </is>
      </c>
      <c r="M17" s="12" t="inlineStr"/>
      <c r="N17" s="12" t="inlineStr"/>
      <c r="O17" s="12" t="inlineStr"/>
      <c r="P17" s="11" t="inlineStr"/>
    </row>
    <row r="18" ht="90" customHeight="1">
      <c r="A18" s="8" t="inlineStr">
        <is>
          <t>ANL-017</t>
        </is>
      </c>
      <c r="B18" s="9" t="inlineStr">
        <is>
          <t>Patient Analysis View</t>
        </is>
      </c>
      <c r="C18" s="9" t="inlineStr">
        <is>
          <t>Patient-type filter (New) re-fetches with patient_type=new</t>
        </is>
      </c>
      <c r="D18" s="10" t="inlineStr">
        <is>
          <t>High</t>
        </is>
      </c>
      <c r="E18" s="9" t="inlineStr">
        <is>
          <t>Functional</t>
        </is>
      </c>
      <c r="F18" s="9" t="inlineStr">
        <is>
          <t>Account A on Patient view; DevTools Network open.</t>
        </is>
      </c>
      <c r="G18" s="9" t="inlineStr">
        <is>
          <t>1. Open the patient filter Select (default 'All Patients').
2. Choose 'New Patients'.
3. Inspect the new /api/analytics/dashboard request params.</t>
        </is>
      </c>
      <c r="H18" s="9" t="inlineStr">
        <is>
          <t>patient_type=new</t>
        </is>
      </c>
      <c r="I18" s="9" t="inlineStr">
        <is>
          <t>Selecting 'New Patients' triggers a refetch with query param patient_type=new (and patient_type=active for 'Active Patients'). 'All Patients' omits the param entirely (undefined). Charts/StatCards update to the filtered figures.</t>
        </is>
      </c>
      <c r="J18" s="9" t="inlineStr">
        <is>
          <t>GET /api/analytics/dashboard</t>
        </is>
      </c>
      <c r="K18" s="11" t="inlineStr"/>
      <c r="L18" s="12" t="inlineStr">
        <is>
          <t>Not Executed</t>
        </is>
      </c>
      <c r="M18" s="12" t="inlineStr"/>
      <c r="N18" s="12" t="inlineStr"/>
      <c r="O18" s="12" t="inlineStr"/>
      <c r="P18" s="11" t="inlineStr"/>
    </row>
    <row r="19" ht="150" customHeight="1">
      <c r="A19" s="8" t="inlineStr">
        <is>
          <t>ANL-018</t>
        </is>
      </c>
      <c r="B19" s="9" t="inlineStr">
        <is>
          <t>Patient Analysis View</t>
        </is>
      </c>
      <c r="C19" s="9" t="inlineStr">
        <is>
          <t>Embedded Vitals Analysis block renders under the Patient view</t>
        </is>
      </c>
      <c r="D19" s="17" t="inlineStr">
        <is>
          <t>Medium</t>
        </is>
      </c>
      <c r="E19" s="9" t="inlineStr">
        <is>
          <t>Functional</t>
        </is>
      </c>
      <c r="F19" s="9" t="inlineStr">
        <is>
          <t>Account A on Patient view with vitals data.</t>
        </is>
      </c>
      <c r="G19" s="9" t="inlineStr">
        <is>
          <t>1. Scroll to the bottom of the Patient view.
2. Confirm a 'Vitals Analysis' section appears.
3. Observe its KPI cards and charts.</t>
        </is>
      </c>
      <c r="H19" s="9" t="inlineStr">
        <is>
          <t>N/A</t>
        </is>
      </c>
      <c r="I19" s="9" t="inlineStr">
        <is>
          <t>A 'Vitals Analysis' heading is shown followed by the full VitalsAnalysisView (Patients Tracked / Deaths / Avg-Visits KPIs, Vitals Distribution, Correlation). It self-fetches its own data, so it appears even though the Patient view passes it no props. (Note: this is the SAME component also shown as the standalone Vitals tab — vitals/summary, /distribution, /correlation, /deaths-impact are called again here.)</t>
        </is>
      </c>
      <c r="J19" s="9" t="inlineStr">
        <is>
          <t>GET /api/analytics/vitals/summary, GET /api/analytics/vitals/distribution, GET /api/analytics/vitals/correlation, GET /api/analytics/deaths/impact</t>
        </is>
      </c>
      <c r="K19" s="11" t="inlineStr"/>
      <c r="L19" s="12" t="inlineStr">
        <is>
          <t>Not Executed</t>
        </is>
      </c>
      <c r="M19" s="12" t="inlineStr"/>
      <c r="N19" s="12" t="inlineStr"/>
      <c r="O19" s="12" t="inlineStr"/>
      <c r="P19" s="11" t="inlineStr"/>
    </row>
    <row r="20" ht="90" customHeight="1">
      <c r="A20" s="8" t="inlineStr">
        <is>
          <t>ANL-019</t>
        </is>
      </c>
      <c r="B20" s="9" t="inlineStr">
        <is>
          <t>Patient Analysis View</t>
        </is>
      </c>
      <c r="C20" s="9" t="inlineStr">
        <is>
          <t>Empty patient data renders zeros and empty charts (no crash)</t>
        </is>
      </c>
      <c r="D20" s="17" t="inlineStr">
        <is>
          <t>Medium</t>
        </is>
      </c>
      <c r="E20" s="9" t="inlineStr">
        <is>
          <t>Edge Case</t>
        </is>
      </c>
      <c r="F20" s="9" t="inlineStr">
        <is>
          <t>Account A; choose a date range with NO patients (e.g. start_date in the far past with no registrations, or a future-narrow window with no data).</t>
        </is>
      </c>
      <c r="G20" s="9" t="inlineStr">
        <is>
          <t>1. Open /analytics (Patient).
2. Pick a custom range that contains no patient/registration data.
3. Observe StatCards and charts.</t>
        </is>
      </c>
      <c r="H20" s="9" t="inlineStr">
        <is>
          <t>Custom range with no records (e.g. 2026-05-01 to 2026-05-02 on an empty dataset)</t>
        </is>
      </c>
      <c r="I20" s="9" t="inlineStr">
        <is>
          <t>StatCards show '0' (Total/New Patients/Total Forms). Charts render empty axes with no bars/lines instead of erroring. Deaths cards show 0 and 0.0. No JS error in console.</t>
        </is>
      </c>
      <c r="J20" s="9" t="inlineStr">
        <is>
          <t>GET /api/analytics/dashboard</t>
        </is>
      </c>
      <c r="K20" s="11" t="inlineStr"/>
      <c r="L20" s="12" t="inlineStr">
        <is>
          <t>Not Executed</t>
        </is>
      </c>
      <c r="M20" s="12" t="inlineStr"/>
      <c r="N20" s="12" t="inlineStr"/>
      <c r="O20" s="12" t="inlineStr"/>
      <c r="P20" s="11" t="inlineStr"/>
    </row>
    <row r="21" ht="105" customHeight="1">
      <c r="A21" s="13" t="inlineStr">
        <is>
          <t>ANL-020</t>
        </is>
      </c>
      <c r="B21" s="14" t="inlineStr">
        <is>
          <t>Form Analysis View</t>
        </is>
      </c>
      <c r="C21" s="14" t="inlineStr">
        <is>
          <t>Forms tab loads four StatCards from /analytics/forms</t>
        </is>
      </c>
      <c r="D21" s="15" t="inlineStr">
        <is>
          <t>High</t>
        </is>
      </c>
      <c r="E21" s="14" t="inlineStr">
        <is>
          <t>Functional</t>
        </is>
      </c>
      <c r="F21" s="14" t="inlineStr">
        <is>
          <t>Account A; forms + submissions exist in the window.</t>
        </is>
      </c>
      <c r="G21" s="14" t="inlineStr">
        <is>
          <t>1. Click the 'Forms' tab.
2. Read the four StatCards.
3. Compare to the /api/analytics/forms summary.</t>
        </is>
      </c>
      <c r="H21" s="14" t="inlineStr">
        <is>
          <t>N/A</t>
        </is>
      </c>
      <c r="I21" s="14" t="inlineStr">
        <is>
          <t>Total Forms = summary.total_forms, Total Submissions = summary.total_submissions, Completion Rate = average_completion_rate% , Avg Completion Time = average_completion_time_minutes min. Values match the API. A GET /api/analytics/forms request fires when the tab activates.</t>
        </is>
      </c>
      <c r="J21" s="14" t="inlineStr">
        <is>
          <t>GET /api/analytics/forms</t>
        </is>
      </c>
      <c r="K21" s="11" t="inlineStr"/>
      <c r="L21" s="12" t="inlineStr">
        <is>
          <t>Not Executed</t>
        </is>
      </c>
      <c r="M21" s="12" t="inlineStr"/>
      <c r="N21" s="12" t="inlineStr"/>
      <c r="O21" s="12" t="inlineStr"/>
      <c r="P21" s="11" t="inlineStr"/>
    </row>
    <row r="22" ht="75" customHeight="1">
      <c r="A22" s="13" t="inlineStr">
        <is>
          <t>ANL-021</t>
        </is>
      </c>
      <c r="B22" s="14" t="inlineStr">
        <is>
          <t>Form Analysis View</t>
        </is>
      </c>
      <c r="C22" s="14" t="inlineStr">
        <is>
          <t>Completion funnel + submission/verification rates render</t>
        </is>
      </c>
      <c r="D22" s="16" t="inlineStr">
        <is>
          <t>Medium</t>
        </is>
      </c>
      <c r="E22" s="14" t="inlineStr">
        <is>
          <t>Functional</t>
        </is>
      </c>
      <c r="F22" s="14" t="inlineStr">
        <is>
          <t>Account A on Forms tab with completion_funnel data.</t>
        </is>
      </c>
      <c r="G22" s="14" t="inlineStr">
        <is>
          <t>1. Inspect the 'Form Completion Funnel' card.
2. Read the Submission Rate and Verification Rate figures.</t>
        </is>
      </c>
      <c r="H22" s="14" t="inlineStr">
        <is>
          <t>N/A</t>
        </is>
      </c>
      <c r="I22" s="14" t="inlineStr">
        <is>
          <t>Horizontal bars for Started / Submitted / Verified with values from completion_funnel. The two stat lines show completion_funnel.submission_rate% (green) and verification_rate% (purple).</t>
        </is>
      </c>
      <c r="J22" s="14" t="inlineStr">
        <is>
          <t>GET /api/analytics/forms</t>
        </is>
      </c>
      <c r="K22" s="11" t="inlineStr"/>
      <c r="L22" s="12" t="inlineStr">
        <is>
          <t>Not Executed</t>
        </is>
      </c>
      <c r="M22" s="12" t="inlineStr"/>
      <c r="N22" s="12" t="inlineStr"/>
      <c r="O22" s="12" t="inlineStr"/>
      <c r="P22" s="11" t="inlineStr"/>
    </row>
    <row r="23" ht="90" customHeight="1">
      <c r="A23" s="13" t="inlineStr">
        <is>
          <t>ANL-022</t>
        </is>
      </c>
      <c r="B23" s="14" t="inlineStr">
        <is>
          <t>Form Analysis View</t>
        </is>
      </c>
      <c r="C23" s="14" t="inlineStr">
        <is>
          <t>Submission Status pie, Top Forms bar, and Submission Trends line render</t>
        </is>
      </c>
      <c r="D23" s="16" t="inlineStr">
        <is>
          <t>Medium</t>
        </is>
      </c>
      <c r="E23" s="14" t="inlineStr">
        <is>
          <t>Functional</t>
        </is>
      </c>
      <c r="F23" s="14" t="inlineStr">
        <is>
          <t>Account A on Forms tab with data.</t>
        </is>
      </c>
      <c r="G23" s="14" t="inlineStr">
        <is>
          <t>1. Inspect 'Submission Status' pie (labels Name: %).
2. Inspect 'Top Forms by Usage' bar (names truncated to 20 chars + ...).
3. Inspect 'Form Submission Trends' line.</t>
        </is>
      </c>
      <c r="H23" s="14" t="inlineStr">
        <is>
          <t>N/A</t>
        </is>
      </c>
      <c r="I23" s="14" t="inlineStr">
        <is>
          <t>Status pie slices = status_breakdown (status capitalised, value=count, label %). Top Forms bars = top_forms[].submissions with form_name truncated past 20 chars. Trends line plots submission_trends[].month/.submissions.</t>
        </is>
      </c>
      <c r="J23" s="14" t="inlineStr">
        <is>
          <t>GET /api/analytics/forms</t>
        </is>
      </c>
      <c r="K23" s="11" t="inlineStr"/>
      <c r="L23" s="12" t="inlineStr">
        <is>
          <t>Not Executed</t>
        </is>
      </c>
      <c r="M23" s="12" t="inlineStr"/>
      <c r="N23" s="12" t="inlineStr"/>
      <c r="O23" s="12" t="inlineStr"/>
      <c r="P23" s="11" t="inlineStr"/>
    </row>
    <row r="24" ht="60" customHeight="1">
      <c r="A24" s="13" t="inlineStr">
        <is>
          <t>ANL-023</t>
        </is>
      </c>
      <c r="B24" s="14" t="inlineStr">
        <is>
          <t>Form Analysis View</t>
        </is>
      </c>
      <c r="C24" s="14" t="inlineStr">
        <is>
          <t>'Advanced Form Analytics Hub' button navigates to /analytics/forms</t>
        </is>
      </c>
      <c r="D24" s="18" t="inlineStr">
        <is>
          <t>Low</t>
        </is>
      </c>
      <c r="E24" s="14" t="inlineStr">
        <is>
          <t>Functional</t>
        </is>
      </c>
      <c r="F24" s="14" t="inlineStr">
        <is>
          <t>Account A on Forms tab.</t>
        </is>
      </c>
      <c r="G24" s="14" t="inlineStr">
        <is>
          <t>1. Click the 'Advanced Form Analytics Hub' button (shown only on the Forms tab).
2. Observe the route change.</t>
        </is>
      </c>
      <c r="H24" s="14" t="inlineStr">
        <is>
          <t>N/A</t>
        </is>
      </c>
      <c r="I24" s="14" t="inlineStr">
        <is>
          <t>Navigates to /analytics/forms (Advanced Form Analytics Hub). Deep testing of that page is OUT OF SCOPE — only confirm it loads under the view_analytics guard.</t>
        </is>
      </c>
      <c r="J24" s="14" t="inlineStr">
        <is>
          <t>N/A</t>
        </is>
      </c>
      <c r="K24" s="11" t="inlineStr"/>
      <c r="L24" s="12" t="inlineStr">
        <is>
          <t>Not Executed</t>
        </is>
      </c>
      <c r="M24" s="12" t="inlineStr"/>
      <c r="N24" s="12" t="inlineStr"/>
      <c r="O24" s="12" t="inlineStr"/>
      <c r="P24" s="11" t="inlineStr"/>
    </row>
    <row r="25" ht="45" customHeight="1">
      <c r="A25" s="13" t="inlineStr">
        <is>
          <t>ANL-024</t>
        </is>
      </c>
      <c r="B25" s="14" t="inlineStr">
        <is>
          <t>Form Analysis View</t>
        </is>
      </c>
      <c r="C25" s="14" t="inlineStr">
        <is>
          <t>Forms tab with no submissions shows zero stats and empty charts</t>
        </is>
      </c>
      <c r="D25" s="16" t="inlineStr">
        <is>
          <t>Medium</t>
        </is>
      </c>
      <c r="E25" s="14" t="inlineStr">
        <is>
          <t>Edge Case</t>
        </is>
      </c>
      <c r="F25" s="14" t="inlineStr">
        <is>
          <t>Account A; pick a window with no submissions.</t>
        </is>
      </c>
      <c r="G25" s="14" t="inlineStr">
        <is>
          <t>1. On the Forms tab, set a date range with no form submissions.
2. Observe StatCards and charts.</t>
        </is>
      </c>
      <c r="H25" s="14" t="inlineStr">
        <is>
          <t>Custom empty window</t>
        </is>
      </c>
      <c r="I25" s="14" t="inlineStr">
        <is>
          <t>StatCards show 0 / 0% / 0 min; funnel, pie, bar and line charts render empty without error. No console crash.</t>
        </is>
      </c>
      <c r="J25" s="14" t="inlineStr">
        <is>
          <t>GET /api/analytics/forms</t>
        </is>
      </c>
      <c r="K25" s="11" t="inlineStr"/>
      <c r="L25" s="12" t="inlineStr">
        <is>
          <t>Not Executed</t>
        </is>
      </c>
      <c r="M25" s="12" t="inlineStr"/>
      <c r="N25" s="12" t="inlineStr"/>
      <c r="O25" s="12" t="inlineStr"/>
      <c r="P25" s="11" t="inlineStr"/>
    </row>
    <row r="26" ht="60" customHeight="1">
      <c r="A26" s="13" t="inlineStr">
        <is>
          <t>ANL-025</t>
        </is>
      </c>
      <c r="B26" s="14" t="inlineStr">
        <is>
          <t>Form Analysis View</t>
        </is>
      </c>
      <c r="C26" s="14" t="inlineStr">
        <is>
          <t>Forms API failure surfaces the dashboard error panel</t>
        </is>
      </c>
      <c r="D26" s="16" t="inlineStr">
        <is>
          <t>Medium</t>
        </is>
      </c>
      <c r="E26" s="14" t="inlineStr">
        <is>
          <t>Negative</t>
        </is>
      </c>
      <c r="F26" s="14" t="inlineStr">
        <is>
          <t>Account A on Forms tab; ability to force 500 on /analytics/forms.</t>
        </is>
      </c>
      <c r="G26" s="14" t="inlineStr">
        <is>
          <t>1. Force GET /api/analytics/forms to return 500 (or block).
2. Refresh the Forms view.
3. Observe the page.</t>
        </is>
      </c>
      <c r="H26" s="14" t="inlineStr">
        <is>
          <t>N/A</t>
        </is>
      </c>
      <c r="I26" s="14" t="inlineStr">
        <is>
          <t>The shared 'Error loading dashboard' panel appears with the error text and 'Try Again'. (The dashboard's error state is shared across views.) No crash.</t>
        </is>
      </c>
      <c r="J26" s="14" t="inlineStr">
        <is>
          <t>GET /api/analytics/forms</t>
        </is>
      </c>
      <c r="K26" s="11" t="inlineStr"/>
      <c r="L26" s="12" t="inlineStr">
        <is>
          <t>Not Executed</t>
        </is>
      </c>
      <c r="M26" s="12" t="inlineStr"/>
      <c r="N26" s="12" t="inlineStr"/>
      <c r="O26" s="12" t="inlineStr"/>
      <c r="P26" s="11" t="inlineStr"/>
    </row>
    <row r="27" ht="135" customHeight="1">
      <c r="A27" s="8" t="inlineStr">
        <is>
          <t>ANL-026</t>
        </is>
      </c>
      <c r="B27" s="9" t="inlineStr">
        <is>
          <t>Vitals Analysis View</t>
        </is>
      </c>
      <c r="C27" s="9" t="inlineStr">
        <is>
          <t>Vitals tab loads KPI cards (Patients Tracked, Deaths, Avg Visits)</t>
        </is>
      </c>
      <c r="D27" s="10" t="inlineStr">
        <is>
          <t>High</t>
        </is>
      </c>
      <c r="E27" s="9" t="inlineStr">
        <is>
          <t>Functional</t>
        </is>
      </c>
      <c r="F27" s="9" t="inlineStr">
        <is>
          <t>Account A; vitals + deaths data present.</t>
        </is>
      </c>
      <c r="G27" s="9" t="inlineStr">
        <is>
          <t>1. Click the 'Vitals' tab.
2. Observe the three KPI cards while/after loading.
3. Inspect the parallel requests in Network.</t>
        </is>
      </c>
      <c r="H27" s="9" t="inlineStr">
        <is>
          <t>window_days=30</t>
        </is>
      </c>
      <c r="I27" s="9" t="inlineStr">
        <is>
          <t>On mount, vitals/summary, vitals/distribution and deaths/impact?window_days=30 fire in parallel. 'Patients Tracked' = total_patients_with_vitals; 'Deaths (last 30 days)' = deaths_in_window; 'Avg Visits Before Death' = avg_visits_before_death (1 dp) or em-dash when null. A simple 'Loading vitals analytics...' message shows during the fetch.</t>
        </is>
      </c>
      <c r="J27" s="9" t="inlineStr">
        <is>
          <t>GET /api/analytics/vitals/summary, GET /api/analytics/vitals/distribution, GET /api/analytics/deaths/impact</t>
        </is>
      </c>
      <c r="K27" s="11" t="inlineStr"/>
      <c r="L27" s="12" t="inlineStr">
        <is>
          <t>Not Executed</t>
        </is>
      </c>
      <c r="M27" s="12" t="inlineStr"/>
      <c r="N27" s="12" t="inlineStr"/>
      <c r="O27" s="12" t="inlineStr"/>
      <c r="P27" s="11" t="inlineStr"/>
    </row>
    <row r="28" ht="105" customHeight="1">
      <c r="A28" s="8" t="inlineStr">
        <is>
          <t>ANL-027</t>
        </is>
      </c>
      <c r="B28" s="9" t="inlineStr">
        <is>
          <t>Vitals Analysis View</t>
        </is>
      </c>
      <c r="C28" s="9" t="inlineStr">
        <is>
          <t>Vitals Distribution chart switches across all 7 vital toggles</t>
        </is>
      </c>
      <c r="D28" s="17" t="inlineStr">
        <is>
          <t>Medium</t>
        </is>
      </c>
      <c r="E28" s="9" t="inlineStr">
        <is>
          <t>Functional</t>
        </is>
      </c>
      <c r="F28" s="9" t="inlineStr">
        <is>
          <t>Account A on Vitals tab with distribution data.</t>
        </is>
      </c>
      <c r="G28" s="9" t="inlineStr">
        <is>
          <t>1. Default vital is BP Systolic; note the chart.
2. Click each toggle in turn: BP Diastolic, Pulse Rate, SpO2, Temperature, Resp. Rate, GRBS.
3. Read the 'Normal range' footnote for each.</t>
        </is>
      </c>
      <c r="H28" s="9" t="inlineStr">
        <is>
          <t>vitals: bp_systolic, bp_diastolic, pr, spo2, temperature, rr, grbs</t>
        </is>
      </c>
      <c r="I28" s="9" t="inlineStr">
        <is>
          <t>Each toggle re-renders the distribution bar chart from distributionData[vital].buckets (no new network call — distribution is fetched once). The footnote shows that vital's normal_range, unit and total patient count. Selected toggle is highlighted blue.</t>
        </is>
      </c>
      <c r="J28" s="9" t="inlineStr">
        <is>
          <t>GET /api/analytics/vitals/distribution</t>
        </is>
      </c>
      <c r="K28" s="11" t="inlineStr"/>
      <c r="L28" s="12" t="inlineStr">
        <is>
          <t>Not Executed</t>
        </is>
      </c>
      <c r="M28" s="12" t="inlineStr"/>
      <c r="N28" s="12" t="inlineStr"/>
      <c r="O28" s="12" t="inlineStr"/>
      <c r="P28" s="11" t="inlineStr"/>
    </row>
    <row r="29" ht="90" customHeight="1">
      <c r="A29" s="8" t="inlineStr">
        <is>
          <t>ANL-028</t>
        </is>
      </c>
      <c r="B29" s="9" t="inlineStr">
        <is>
          <t>Vitals Analysis View</t>
        </is>
      </c>
      <c r="C29" s="9" t="inlineStr">
        <is>
          <t>Vitals vs ESAS/PPS correlation toggles between score types</t>
        </is>
      </c>
      <c r="D29" s="17" t="inlineStr">
        <is>
          <t>Medium</t>
        </is>
      </c>
      <c r="E29" s="9" t="inlineStr">
        <is>
          <t>Functional</t>
        </is>
      </c>
      <c r="F29" s="9" t="inlineStr">
        <is>
          <t>Account A on Vitals tab.</t>
        </is>
      </c>
      <c r="G29" s="9" t="inlineStr">
        <is>
          <t>1. Observe the correlation chart (default ESAS).
2. Click 'PPS Score'.
3. Inspect the new /api/analytics/vitals/correlation request param.</t>
        </is>
      </c>
      <c r="H29" s="9" t="inlineStr">
        <is>
          <t>score_type=esas then pps</t>
        </is>
      </c>
      <c r="I29" s="9" t="inlineStr">
        <is>
          <t>Switching to PPS fires GET /api/analytics/vitals/correlation?score_type=pps and the chart + title update to 'Vitals vs PPS Correlation'. The subtitle shows patients_with_both count when present. Switching back to ESAS refetches score_type=esas.</t>
        </is>
      </c>
      <c r="J29" s="9" t="inlineStr">
        <is>
          <t>GET /api/analytics/vitals/correlation</t>
        </is>
      </c>
      <c r="K29" s="11" t="inlineStr"/>
      <c r="L29" s="12" t="inlineStr">
        <is>
          <t>Not Executed</t>
        </is>
      </c>
      <c r="M29" s="12" t="inlineStr"/>
      <c r="N29" s="12" t="inlineStr"/>
      <c r="O29" s="12" t="inlineStr"/>
      <c r="P29" s="11" t="inlineStr"/>
    </row>
    <row r="30" ht="60" customHeight="1">
      <c r="A30" s="8" t="inlineStr">
        <is>
          <t>ANL-029</t>
        </is>
      </c>
      <c r="B30" s="9" t="inlineStr">
        <is>
          <t>Vitals Analysis View</t>
        </is>
      </c>
      <c r="C30" s="9" t="inlineStr">
        <is>
          <t>Vitals charts show empty-state text when no data</t>
        </is>
      </c>
      <c r="D30" s="17" t="inlineStr">
        <is>
          <t>Medium</t>
        </is>
      </c>
      <c r="E30" s="9" t="inlineStr">
        <is>
          <t>Edge Case</t>
        </is>
      </c>
      <c r="F30" s="9" t="inlineStr">
        <is>
          <t>Account A; dataset with no follow-up vitals / no correlation pairs.</t>
        </is>
      </c>
      <c r="G30" s="9" t="inlineStr">
        <is>
          <t>1. Open the Vitals tab on a dataset with no usable vitals.
2. Observe the distribution and correlation cards.</t>
        </is>
      </c>
      <c r="H30" s="9" t="inlineStr">
        <is>
          <t>N/A</t>
        </is>
      </c>
      <c r="I30" s="9" t="inlineStr">
        <is>
          <t>Distribution card shows 'No distribution data'; correlation card shows 'No correlation data'. KPI cards show 0 / em-dash. No crash.</t>
        </is>
      </c>
      <c r="J30" s="9" t="inlineStr">
        <is>
          <t>GET /api/analytics/vitals/distribution, GET /api/analytics/vitals/correlation</t>
        </is>
      </c>
      <c r="K30" s="11" t="inlineStr"/>
      <c r="L30" s="12" t="inlineStr">
        <is>
          <t>Not Executed</t>
        </is>
      </c>
      <c r="M30" s="12" t="inlineStr"/>
      <c r="N30" s="12" t="inlineStr"/>
      <c r="O30" s="12" t="inlineStr"/>
      <c r="P30" s="11" t="inlineStr"/>
    </row>
    <row r="31" ht="90" customHeight="1">
      <c r="A31" s="8" t="inlineStr">
        <is>
          <t>ANL-030</t>
        </is>
      </c>
      <c r="B31" s="9" t="inlineStr">
        <is>
          <t>Vitals Analysis View</t>
        </is>
      </c>
      <c r="C31" s="9" t="inlineStr">
        <is>
          <t>Deaths/impact failure degrades gracefully on the Vitals tab</t>
        </is>
      </c>
      <c r="D31" s="17" t="inlineStr">
        <is>
          <t>Medium</t>
        </is>
      </c>
      <c r="E31" s="9" t="inlineStr">
        <is>
          <t>Negative</t>
        </is>
      </c>
      <c r="F31" s="9" t="inlineStr">
        <is>
          <t>Account A on Vitals tab; force deaths/impact to fail.</t>
        </is>
      </c>
      <c r="G31" s="9" t="inlineStr">
        <is>
          <t>1. Block GET /api/analytics/deaths/impact only.
2. Open the Vitals tab.
3. Observe the KPI cards.</t>
        </is>
      </c>
      <c r="H31" s="9" t="inlineStr">
        <is>
          <t>N/A</t>
        </is>
      </c>
      <c r="I31" s="9" t="inlineStr">
        <is>
          <t>The deaths fetch is caught (.catch returns {data:null}); Deaths and Avg-Visits cards fall back to 0 / em-dash while Patients-Tracked and the distribution chart still render. No error panel, no crash (failure is isolated).</t>
        </is>
      </c>
      <c r="J31" s="9" t="inlineStr">
        <is>
          <t>GET /api/analytics/deaths/impact</t>
        </is>
      </c>
      <c r="K31" s="11" t="inlineStr"/>
      <c r="L31" s="12" t="inlineStr">
        <is>
          <t>Not Executed</t>
        </is>
      </c>
      <c r="M31" s="12" t="inlineStr"/>
      <c r="N31" s="12" t="inlineStr"/>
      <c r="O31" s="12" t="inlineStr"/>
      <c r="P31" s="11" t="inlineStr"/>
    </row>
    <row r="32" ht="165" customHeight="1">
      <c r="A32" s="13" t="inlineStr">
        <is>
          <t>ANL-031</t>
        </is>
      </c>
      <c r="B32" s="14" t="inlineStr">
        <is>
          <t>Donor / ToC View</t>
        </is>
      </c>
      <c r="C32" s="14" t="inlineStr">
        <is>
          <t>Donor tab loads all 14 endpoints and Row-1/Row-2 StatTiles</t>
        </is>
      </c>
      <c r="D32" s="15" t="inlineStr">
        <is>
          <t>High</t>
        </is>
      </c>
      <c r="E32" s="14" t="inlineStr">
        <is>
          <t>Functional</t>
        </is>
      </c>
      <c r="F32" s="14" t="inlineStr">
        <is>
          <t>Account A; donor data populated; default real-data mode.</t>
        </is>
      </c>
      <c r="G32" s="14" t="inlineStr">
        <is>
          <t>1. Click 'Donor / ToC'.
2. In Network, confirm the parallel /api/analytics/donor/* calls.
3. Read the StatTiles (New registrations, Unique patients seen, Total visits, Home-care first/follow-up, Deaths, Consultations, Multi-disciplinary, Patients on opioids, KMs covered, Lost to follow-up, Telemedicine).</t>
        </is>
      </c>
      <c r="H32" s="14" t="inlineStr">
        <is>
          <t>period=monthly, default Last-12-months range</t>
        </is>
      </c>
      <c r="I32" s="14" t="inlineStr">
        <is>
          <t>Fourteen donor endpoints fire (overview, visits-timeline, deaths-timeline, consultations-mix, distance-timeline, opioid-usage, telemedicine-timeline, multidisciplinary, followups, place-of-death-by-zone, loss-to-followup, vehicle-utilization, enrollment-to-death, registration-to-first-visit). StatTiles populate from each response with previous-period delta badges (TrendingUp/Down or 'No prior data'). Numbers use Indian grouping (en-IN).</t>
        </is>
      </c>
      <c r="J32" s="14" t="inlineStr">
        <is>
          <t>GET /api/analytics/donor/overview (+13 others)</t>
        </is>
      </c>
      <c r="K32" s="11" t="inlineStr"/>
      <c r="L32" s="12" t="inlineStr">
        <is>
          <t>Not Executed</t>
        </is>
      </c>
      <c r="M32" s="12" t="inlineStr"/>
      <c r="N32" s="12" t="inlineStr"/>
      <c r="O32" s="12" t="inlineStr"/>
      <c r="P32" s="11" t="inlineStr"/>
    </row>
    <row r="33" ht="75" customHeight="1">
      <c r="A33" s="13" t="inlineStr">
        <is>
          <t>ANL-032</t>
        </is>
      </c>
      <c r="B33" s="14" t="inlineStr">
        <is>
          <t>Donor / ToC View</t>
        </is>
      </c>
      <c r="C33" s="14" t="inlineStr">
        <is>
          <t>Period selector changes bucketing param on timeline endpoints</t>
        </is>
      </c>
      <c r="D33" s="16" t="inlineStr">
        <is>
          <t>Medium</t>
        </is>
      </c>
      <c r="E33" s="14" t="inlineStr">
        <is>
          <t>Functional</t>
        </is>
      </c>
      <c r="F33" s="14" t="inlineStr">
        <is>
          <t>Account A on Donor tab (real data).</t>
        </is>
      </c>
      <c r="G33" s="14" t="inlineStr">
        <is>
          <t>1. Open the Period Select (default Monthly).
2. Choose 'Quarterly', then 'Yearly', then 'Daily'.
3. Inspect the period query param on the donor timeline calls each time.</t>
        </is>
      </c>
      <c r="H33" s="14" t="inlineStr">
        <is>
          <t>period=daily|monthly|quarterly|yearly</t>
        </is>
      </c>
      <c r="I33" s="14" t="inlineStr">
        <is>
          <t>Each selection refetches the donor data with the chosen period value; the visits/deaths/opioid/telemedicine/followup timelines re-bucket accordingly. The Period selector is DISABLED while demo mode is on.</t>
        </is>
      </c>
      <c r="J33" s="14" t="inlineStr">
        <is>
          <t>GET /api/analytics/donor/visits-timeline, /deaths-timeline, /opioid-usage, /telemedicine-timeline, /followups</t>
        </is>
      </c>
      <c r="K33" s="11" t="inlineStr"/>
      <c r="L33" s="12" t="inlineStr">
        <is>
          <t>Not Executed</t>
        </is>
      </c>
      <c r="M33" s="12" t="inlineStr"/>
      <c r="N33" s="12" t="inlineStr"/>
      <c r="O33" s="12" t="inlineStr"/>
      <c r="P33" s="11" t="inlineStr"/>
    </row>
    <row r="34" ht="165" customHeight="1">
      <c r="A34" s="13" t="inlineStr">
        <is>
          <t>ANL-033</t>
        </is>
      </c>
      <c r="B34" s="14" t="inlineStr">
        <is>
          <t>Donor / ToC View</t>
        </is>
      </c>
      <c r="C34" s="14" t="inlineStr">
        <is>
          <t>Demo/real-data toggle switches to fabricated mock data (no API)</t>
        </is>
      </c>
      <c r="D34" s="15" t="inlineStr">
        <is>
          <t>High</t>
        </is>
      </c>
      <c r="E34" s="14" t="inlineStr">
        <is>
          <t>Data Integrity</t>
        </is>
      </c>
      <c r="F34" s="14" t="inlineStr">
        <is>
          <t>Account A on Donor tab; DevTools Network open.</t>
        </is>
      </c>
      <c r="G34" s="14" t="inlineStr">
        <is>
          <t>1. Note the toggle label reads 'Real data' by default.
2. Flip the Switch so it reads 'Showing demo data'.
3. Watch Network and the on-screen amber banner.</t>
        </is>
      </c>
      <c r="H34" s="14" t="inlineStr">
        <is>
          <t>N/A</t>
        </is>
      </c>
      <c r="I34" s="14" t="inlineStr">
        <is>
          <t>Flipping the toggle to demo mode fills every card from getMockDonorData() and makes NO /api/analytics/donor/* network calls. An amber banner appears: 'Demo mode — showing fabricated 12-month data ...'. DEFECT/RISK to flag for go-live: a user could present mock numbers (e.g. 104 deaths, 165-patient first-visit cohort) believing they are real if the toggle is left on. Verify it defaults to Real data after a page reload.</t>
        </is>
      </c>
      <c r="J34" s="14" t="inlineStr">
        <is>
          <t>N/A (mock data path)</t>
        </is>
      </c>
      <c r="K34" s="11" t="inlineStr"/>
      <c r="L34" s="12" t="inlineStr">
        <is>
          <t>Not Executed</t>
        </is>
      </c>
      <c r="M34" s="12" t="inlineStr"/>
      <c r="N34" s="12" t="inlineStr"/>
      <c r="O34" s="12" t="inlineStr"/>
      <c r="P34" s="11" t="inlineStr"/>
    </row>
    <row r="35" ht="120" customHeight="1">
      <c r="A35" s="13" t="inlineStr">
        <is>
          <t>ANL-034</t>
        </is>
      </c>
      <c r="B35" s="14" t="inlineStr">
        <is>
          <t>Donor / ToC View</t>
        </is>
      </c>
      <c r="C35" s="14" t="inlineStr">
        <is>
          <t>Real-data mode shows true empty states when DB has no records</t>
        </is>
      </c>
      <c r="D35" s="16" t="inlineStr">
        <is>
          <t>Medium</t>
        </is>
      </c>
      <c r="E35" s="14" t="inlineStr">
        <is>
          <t>Edge Case</t>
        </is>
      </c>
      <c r="F35" s="14" t="inlineStr">
        <is>
          <t>Account A on Donor tab in real-data mode; sparse/empty DB for the window.</t>
        </is>
      </c>
      <c r="G35" s="14" t="inlineStr">
        <is>
          <t>1. Ensure demo toggle is OFF (Real data).
2. Select a window with no donor activity.
3. Inspect each card.</t>
        </is>
      </c>
      <c r="H35" s="14" t="inlineStr">
        <is>
          <t>Empty window</t>
        </is>
      </c>
      <c r="I35" s="14" t="inlineStr">
        <is>
          <t>Cards show their specific empty messages, e.g. 'No visits recorded for this period.', 'No place-of-death records yet...', 'No opioid dispensations detected...', 'No teleconsult sessions in this period.', 'No patients with a first completed visit in this window.' StatTiles show 0 / em-dash. No mock numbers leak in.</t>
        </is>
      </c>
      <c r="J35" s="14" t="inlineStr">
        <is>
          <t>GET /api/analytics/donor/* (real)</t>
        </is>
      </c>
      <c r="K35" s="11" t="inlineStr"/>
      <c r="L35" s="12" t="inlineStr">
        <is>
          <t>Not Executed</t>
        </is>
      </c>
      <c r="M35" s="12" t="inlineStr"/>
      <c r="N35" s="12" t="inlineStr"/>
      <c r="O35" s="12" t="inlineStr"/>
      <c r="P35" s="11" t="inlineStr"/>
    </row>
    <row r="36" ht="120" customHeight="1">
      <c r="A36" s="13" t="inlineStr">
        <is>
          <t>ANL-035</t>
        </is>
      </c>
      <c r="B36" s="14" t="inlineStr">
        <is>
          <t>Donor / ToC View</t>
        </is>
      </c>
      <c r="C36" s="14" t="inlineStr">
        <is>
          <t>Time-to-first-visit card shows within/outside target + distribution</t>
        </is>
      </c>
      <c r="D36" s="16" t="inlineStr">
        <is>
          <t>Medium</t>
        </is>
      </c>
      <c r="E36" s="14" t="inlineStr">
        <is>
          <t>Functional</t>
        </is>
      </c>
      <c r="F36" s="14" t="inlineStr">
        <is>
          <t>Account A on Donor tab; first-visit cohort present.</t>
        </is>
      </c>
      <c r="G36" s="14" t="inlineStr">
        <is>
          <t>1. Locate the 'Time to first visit' card.
2. Read the within-target / outside-target / median·p90 tiles and the distribution bars.</t>
        </is>
      </c>
      <c r="H36" s="14" t="inlineStr">
        <is>
          <t>target_homecare_days=8 (default)</t>
        </is>
      </c>
      <c r="I36" s="14" t="inlineStr">
        <is>
          <t>Card shows 'Target &lt;= 8 home-care days' badge; within_target / cohort_size, within_target_pct, outside_target, median and p90 HC-days. Distribution bars are green when the bucket's upper bound &lt;= target, amber otherwise. Empty cohort shows 'No patients with a first completed visit in this window.'</t>
        </is>
      </c>
      <c r="J36" s="14" t="inlineStr">
        <is>
          <t>GET /api/analytics/donor/registration-to-first-visit</t>
        </is>
      </c>
      <c r="K36" s="11" t="inlineStr"/>
      <c r="L36" s="12" t="inlineStr">
        <is>
          <t>Not Executed</t>
        </is>
      </c>
      <c r="M36" s="12" t="inlineStr"/>
      <c r="N36" s="12" t="inlineStr"/>
      <c r="O36" s="12" t="inlineStr"/>
      <c r="P36" s="11" t="inlineStr"/>
    </row>
    <row r="37" ht="90" customHeight="1">
      <c r="A37" s="13" t="inlineStr">
        <is>
          <t>ANL-036</t>
        </is>
      </c>
      <c r="B37" s="14" t="inlineStr">
        <is>
          <t>Donor / ToC View</t>
        </is>
      </c>
      <c r="C37" s="14" t="inlineStr">
        <is>
          <t>Donor Refresh and browser-print PDF controls work</t>
        </is>
      </c>
      <c r="D37" s="18" t="inlineStr">
        <is>
          <t>Low</t>
        </is>
      </c>
      <c r="E37" s="14" t="inlineStr">
        <is>
          <t>Functional</t>
        </is>
      </c>
      <c r="F37" s="14" t="inlineStr">
        <is>
          <t>Account A on Donor tab.</t>
        </is>
      </c>
      <c r="G37" s="14" t="inlineStr">
        <is>
          <t>1. Click the donor-local Refresh button; observe spinner and refetch.
2. Click the 'PDF' button.
3. Observe the browser print dialog.</t>
        </is>
      </c>
      <c r="H37" s="14" t="inlineStr">
        <is>
          <t>N/A</t>
        </is>
      </c>
      <c r="I37" s="14" t="inlineStr">
        <is>
          <t>Refresh re-issues all donor calls (or re-reads mock in demo mode) with the spinner animating. The 'PDF' button calls window.print() opening the browser's native print/save-as-PDF dialog (it is NOT the jsPDF ExportButton). No crash.</t>
        </is>
      </c>
      <c r="J37" s="14" t="inlineStr">
        <is>
          <t xml:space="preserve">GET /api/analytics/donor/* </t>
        </is>
      </c>
      <c r="K37" s="11" t="inlineStr"/>
      <c r="L37" s="12" t="inlineStr">
        <is>
          <t>Not Executed</t>
        </is>
      </c>
      <c r="M37" s="12" t="inlineStr"/>
      <c r="N37" s="12" t="inlineStr"/>
      <c r="O37" s="12" t="inlineStr"/>
      <c r="P37" s="11" t="inlineStr"/>
    </row>
    <row r="38" ht="120" customHeight="1">
      <c r="A38" s="13" t="inlineStr">
        <is>
          <t>ANL-037</t>
        </is>
      </c>
      <c r="B38" s="14" t="inlineStr">
        <is>
          <t>Donor / ToC View</t>
        </is>
      </c>
      <c r="C38" s="14" t="inlineStr">
        <is>
          <t>Donor view error banner on API failure (real-data mode)</t>
        </is>
      </c>
      <c r="D38" s="16" t="inlineStr">
        <is>
          <t>Medium</t>
        </is>
      </c>
      <c r="E38" s="14" t="inlineStr">
        <is>
          <t>Negative</t>
        </is>
      </c>
      <c r="F38" s="14" t="inlineStr">
        <is>
          <t>Account A on Donor tab; force one donor endpoint to 500.</t>
        </is>
      </c>
      <c r="G38" s="14" t="inlineStr">
        <is>
          <t>1. In real-data mode, force e.g. GET /api/analytics/donor/overview to 500.
2. Refresh the donor view.
3. Observe.</t>
        </is>
      </c>
      <c r="H38" s="14" t="inlineStr">
        <is>
          <t>N/A</t>
        </is>
      </c>
      <c r="I38" s="14" t="inlineStr">
        <is>
          <t>Because all 14 calls are awaited together in a single Promise.all, one failure rejects the batch and a red error card appears with the server message ('Failed to load donor metrics'); no card data is shown. No crash. (Flag: a single endpoint failure blanks the whole donor view rather than degrading per-card.)</t>
        </is>
      </c>
      <c r="J38" s="14" t="inlineStr">
        <is>
          <t>GET /api/analytics/donor/overview</t>
        </is>
      </c>
      <c r="K38" s="11" t="inlineStr"/>
      <c r="L38" s="12" t="inlineStr">
        <is>
          <t>Not Executed</t>
        </is>
      </c>
      <c r="M38" s="12" t="inlineStr"/>
      <c r="N38" s="12" t="inlineStr"/>
      <c r="O38" s="12" t="inlineStr"/>
      <c r="P38" s="11" t="inlineStr"/>
    </row>
    <row r="39" ht="105" customHeight="1">
      <c r="A39" s="13" t="inlineStr">
        <is>
          <t>ANL-038</t>
        </is>
      </c>
      <c r="B39" s="14" t="inlineStr">
        <is>
          <t>Donor / ToC View</t>
        </is>
      </c>
      <c r="C39" s="14" t="inlineStr">
        <is>
          <t>loss-to-followup ignores period/date params</t>
        </is>
      </c>
      <c r="D39" s="18" t="inlineStr">
        <is>
          <t>Low</t>
        </is>
      </c>
      <c r="E39" s="14" t="inlineStr">
        <is>
          <t>API</t>
        </is>
      </c>
      <c r="F39" s="14" t="inlineStr">
        <is>
          <t>Account A on Donor tab; DevTools Network open.</t>
        </is>
      </c>
      <c r="G39" s="14" t="inlineStr">
        <is>
          <t>1. Open the Donor tab.
2. Inspect the GET /api/analytics/donor/loss-to-followup request query string.</t>
        </is>
      </c>
      <c r="H39" s="14" t="inlineStr">
        <is>
          <t>threshold_days default 60</t>
        </is>
      </c>
      <c r="I39" s="14" t="inlineStr">
        <is>
          <t>The loss-to-followup call is sent WITHOUT start_date/end_date/period (only the headers are passed) — by design it reports current overdue patients regardless of the selected range. The 'Lost to follow-up' StatTile shows total_count and the threshold_days footer.</t>
        </is>
      </c>
      <c r="J39" s="14" t="inlineStr">
        <is>
          <t>GET /api/analytics/donor/loss-to-followup</t>
        </is>
      </c>
      <c r="K39" s="11" t="inlineStr"/>
      <c r="L39" s="12" t="inlineStr">
        <is>
          <t>Not Executed</t>
        </is>
      </c>
      <c r="M39" s="12" t="inlineStr"/>
      <c r="N39" s="12" t="inlineStr"/>
      <c r="O39" s="12" t="inlineStr"/>
      <c r="P39" s="11" t="inlineStr"/>
    </row>
    <row r="40" ht="105" customHeight="1">
      <c r="A40" s="8" t="inlineStr">
        <is>
          <t>ANL-039</t>
        </is>
      </c>
      <c r="B40" s="9" t="inlineStr">
        <is>
          <t>Date Range Picker</t>
        </is>
      </c>
      <c r="C40" s="9" t="inlineStr">
        <is>
          <t>Quick-select presets update the range and refetch</t>
        </is>
      </c>
      <c r="D40" s="10" t="inlineStr">
        <is>
          <t>High</t>
        </is>
      </c>
      <c r="E40" s="9" t="inlineStr">
        <is>
          <t>Functional</t>
        </is>
      </c>
      <c r="F40" s="9" t="inlineStr">
        <is>
          <t>Account A on /analytics (Patient); DevTools Network open.</t>
        </is>
      </c>
      <c r="G40" s="9" t="inlineStr">
        <is>
          <t>1. Open the 'Quick select' dropdown.
2. Choose 'Last 7 days'; observe the picker label and new request params.
3. Repeat for 'Last 30 days', 'Last 3 months', 'Last 6 months', 'Last 12 months', 'Year to date'.</t>
        </is>
      </c>
      <c r="H40" s="9" t="inlineStr">
        <is>
          <t>presets: last7days, last30days, last3months, last6months, last12months, ytd</t>
        </is>
      </c>
      <c r="I40" s="9" t="inlineStr">
        <is>
          <t>Each preset sets from/to per its getDates() (e.g. Year to date = Jan 1 of current year -&gt; today) and the picker label updates to 'MMM d, yyyy - MMM d, yyyy'. A fresh /api/analytics/dashboard request fires with start_date/end_date matching the chosen range.</t>
        </is>
      </c>
      <c r="J40" s="9" t="inlineStr">
        <is>
          <t>GET /api/analytics/dashboard</t>
        </is>
      </c>
      <c r="K40" s="11" t="inlineStr"/>
      <c r="L40" s="12" t="inlineStr">
        <is>
          <t>Not Executed</t>
        </is>
      </c>
      <c r="M40" s="12" t="inlineStr"/>
      <c r="N40" s="12" t="inlineStr"/>
      <c r="O40" s="12" t="inlineStr"/>
      <c r="P40" s="11" t="inlineStr"/>
    </row>
    <row r="41" ht="90" customHeight="1">
      <c r="A41" s="8" t="inlineStr">
        <is>
          <t>ANL-040</t>
        </is>
      </c>
      <c r="B41" s="9" t="inlineStr">
        <is>
          <t>Date Range Picker</t>
        </is>
      </c>
      <c r="C41" s="9" t="inlineStr">
        <is>
          <t>Custom calendar range selection refetches with new dates</t>
        </is>
      </c>
      <c r="D41" s="10" t="inlineStr">
        <is>
          <t>High</t>
        </is>
      </c>
      <c r="E41" s="9" t="inlineStr">
        <is>
          <t>Functional</t>
        </is>
      </c>
      <c r="F41" s="9" t="inlineStr">
        <is>
          <t>Account A on Patient view.</t>
        </is>
      </c>
      <c r="G41" s="9" t="inlineStr">
        <is>
          <t>1. Click the date-range button to open the 2-month calendar.
2. Click a start date (e.g. Jan 1, 2026) then an end date (e.g. May 31, 2026).
3. Inspect the new dashboard request params.</t>
        </is>
      </c>
      <c r="H41" s="9" t="inlineStr">
        <is>
          <t>2026-01-01 to 2026-05-31</t>
        </is>
      </c>
      <c r="I41" s="9" t="inlineStr">
        <is>
          <t>The selected from/to apply; the button shows 'Jan 1, 2026 - May 31, 2026'. A new /api/analytics/dashboard request fires with start_date/end_date as ISO timestamps covering the picked range. Charts/StatCards update.</t>
        </is>
      </c>
      <c r="J41" s="9" t="inlineStr">
        <is>
          <t>GET /api/analytics/dashboard</t>
        </is>
      </c>
      <c r="K41" s="11" t="inlineStr"/>
      <c r="L41" s="12" t="inlineStr">
        <is>
          <t>Not Executed</t>
        </is>
      </c>
      <c r="M41" s="12" t="inlineStr"/>
      <c r="N41" s="12" t="inlineStr"/>
      <c r="O41" s="12" t="inlineStr"/>
      <c r="P41" s="11" t="inlineStr"/>
    </row>
    <row r="42" ht="60" customHeight="1">
      <c r="A42" s="8" t="inlineStr">
        <is>
          <t>ANL-041</t>
        </is>
      </c>
      <c r="B42" s="9" t="inlineStr">
        <is>
          <t>Date Range Picker</t>
        </is>
      </c>
      <c r="C42" s="9" t="inlineStr">
        <is>
          <t>Future dates are disabled in the calendar</t>
        </is>
      </c>
      <c r="D42" s="17" t="inlineStr">
        <is>
          <t>Medium</t>
        </is>
      </c>
      <c r="E42" s="9" t="inlineStr">
        <is>
          <t>Validation</t>
        </is>
      </c>
      <c r="F42" s="9" t="inlineStr">
        <is>
          <t>Account A on Patient view; today = 2026-06-01.</t>
        </is>
      </c>
      <c r="G42" s="9" t="inlineStr">
        <is>
          <t>1. Open the custom calendar.
2. Attempt to click any date after today (e.g. tomorrow / a future month).
3. Also attempt a date before 1900-01-01.</t>
        </is>
      </c>
      <c r="H42" s="9" t="inlineStr">
        <is>
          <t>future date (e.g. 2026-06-02); pre-1900 date</t>
        </is>
      </c>
      <c r="I42" s="9" t="inlineStr">
        <is>
          <t>Future dates (&gt; today) and dates &lt; 1900-01-01 are visually disabled and not selectable (disabled prop on Calendar). The range cannot extend into the future.</t>
        </is>
      </c>
      <c r="J42" s="9" t="inlineStr">
        <is>
          <t>N/A</t>
        </is>
      </c>
      <c r="K42" s="11" t="inlineStr"/>
      <c r="L42" s="12" t="inlineStr">
        <is>
          <t>Not Executed</t>
        </is>
      </c>
      <c r="M42" s="12" t="inlineStr"/>
      <c r="N42" s="12" t="inlineStr"/>
      <c r="O42" s="12" t="inlineStr"/>
      <c r="P42" s="11" t="inlineStr"/>
    </row>
    <row r="43" ht="165" customHeight="1">
      <c r="A43" s="8" t="inlineStr">
        <is>
          <t>ANL-042</t>
        </is>
      </c>
      <c r="B43" s="9" t="inlineStr">
        <is>
          <t>Date Range Picker</t>
        </is>
      </c>
      <c r="C43" s="9" t="inlineStr">
        <is>
          <t>Selecting end-before-start (reverse) range behaviour</t>
        </is>
      </c>
      <c r="D43" s="17" t="inlineStr">
        <is>
          <t>Medium</t>
        </is>
      </c>
      <c r="E43" s="9" t="inlineStr">
        <is>
          <t>Negative</t>
        </is>
      </c>
      <c r="F43" s="9" t="inlineStr">
        <is>
          <t>Account A on Patient view.</t>
        </is>
      </c>
      <c r="G43" s="9" t="inlineStr">
        <is>
          <t>1. Open the custom calendar (mode=range).
2. Click a later date first (e.g. May 31, 2026), then an earlier date (e.g. Jan 1, 2026).
3. Observe the resulting from/to and the request sent.</t>
        </is>
      </c>
      <c r="H43" s="9" t="inlineStr">
        <is>
          <t>first click 2026-05-31, second click 2026-01-01</t>
        </is>
      </c>
      <c r="I43" s="9" t="inlineStr">
        <is>
          <t>There is NO explicit application-level validation rejecting an inverted range; the react-day-picker range mode normalises the selection so from &lt;= to. Confirm the picker does not produce a request with end_date before start_date and the dashboard does not crash. FLAG: if a malformed/single-ended range is ever produced, start_date/end_date are sent via optional chaining (may be undefined) — verify the backend tolerates a missing bound.</t>
        </is>
      </c>
      <c r="J43" s="9" t="inlineStr">
        <is>
          <t>GET /api/analytics/dashboard</t>
        </is>
      </c>
      <c r="K43" s="11" t="inlineStr"/>
      <c r="L43" s="12" t="inlineStr">
        <is>
          <t>Not Executed</t>
        </is>
      </c>
      <c r="M43" s="12" t="inlineStr"/>
      <c r="N43" s="12" t="inlineStr"/>
      <c r="O43" s="12" t="inlineStr"/>
      <c r="P43" s="11" t="inlineStr"/>
    </row>
    <row r="44" ht="150" customHeight="1">
      <c r="A44" s="8" t="inlineStr">
        <is>
          <t>ANL-043</t>
        </is>
      </c>
      <c r="B44" s="9" t="inlineStr">
        <is>
          <t>Date Range Picker</t>
        </is>
      </c>
      <c r="C44" s="9" t="inlineStr">
        <is>
          <t>Date range change re-fetches every data-driven view</t>
        </is>
      </c>
      <c r="D44" s="10" t="inlineStr">
        <is>
          <t>High</t>
        </is>
      </c>
      <c r="E44" s="9" t="inlineStr">
        <is>
          <t>Functional</t>
        </is>
      </c>
      <c r="F44" s="9" t="inlineStr">
        <is>
          <t>Account A; DevTools Network open.</t>
        </is>
      </c>
      <c r="G44" s="9" t="inlineStr">
        <is>
          <t>1. On the Patient view, change the range and confirm a dashboard refetch.
2. Switch to Donor / ToC and change the range; confirm donor calls use the new start_date/end_date.
3. Note: Vitals view does NOT take the dashboard date range.</t>
        </is>
      </c>
      <c r="H44" s="9" t="inlineStr">
        <is>
          <t>Last 3 months</t>
        </is>
      </c>
      <c r="I44" s="9" t="inlineStr">
        <is>
          <t>Patient view refetches /dashboard on range change; Donor view refetches all /donor/* with the new YYYY-MM-DD start/end (donor formats dates as yyyy-MM-dd, while the Patient dashboard sends full ISO timestamps). The Vitals tab's own fetches are NOT parameterised by the dashboard date range (they always use window_days=30 / no range) — document this as expected current behaviour.</t>
        </is>
      </c>
      <c r="J44" s="9" t="inlineStr">
        <is>
          <t>GET /api/analytics/dashboard, GET /api/analytics/donor/*</t>
        </is>
      </c>
      <c r="K44" s="11" t="inlineStr"/>
      <c r="L44" s="12" t="inlineStr">
        <is>
          <t>Not Executed</t>
        </is>
      </c>
      <c r="M44" s="12" t="inlineStr"/>
      <c r="N44" s="12" t="inlineStr"/>
      <c r="O44" s="12" t="inlineStr"/>
      <c r="P44" s="11" t="inlineStr"/>
    </row>
    <row r="45" ht="90" customHeight="1">
      <c r="A45" s="8" t="inlineStr">
        <is>
          <t>ANL-044</t>
        </is>
      </c>
      <c r="B45" s="9" t="inlineStr">
        <is>
          <t>Date Range Picker</t>
        </is>
      </c>
      <c r="C45" s="9" t="inlineStr">
        <is>
          <t>Very wide date range performance</t>
        </is>
      </c>
      <c r="D45" s="19" t="inlineStr">
        <is>
          <t>Low</t>
        </is>
      </c>
      <c r="E45" s="9" t="inlineStr">
        <is>
          <t>Edge Case</t>
        </is>
      </c>
      <c r="F45" s="9" t="inlineStr">
        <is>
          <t>Account A; large dataset.</t>
        </is>
      </c>
      <c r="G45" s="9" t="inlineStr">
        <is>
          <t>1. Set a custom range spanning several years (e.g. 2020-01-01 to 2026-06-01).
2. Switch to Donor with period=daily.
3. Measure load time and observe chart density.</t>
        </is>
      </c>
      <c r="H45" s="9" t="inlineStr">
        <is>
          <t>2020-01-01 to 2026-06-01, period=daily</t>
        </is>
      </c>
      <c r="I45" s="9" t="inlineStr">
        <is>
          <t>The dashboard/donor calls complete within an acceptable time (note actual seconds); charts remain readable or gracefully dense; no timeout, blank screen or browser hang. Record any slowness &gt; a few seconds as a performance observation.</t>
        </is>
      </c>
      <c r="J45" s="9" t="inlineStr">
        <is>
          <t>GET /api/analytics/dashboard, GET /api/analytics/donor/*</t>
        </is>
      </c>
      <c r="K45" s="11" t="inlineStr"/>
      <c r="L45" s="12" t="inlineStr">
        <is>
          <t>Not Executed</t>
        </is>
      </c>
      <c r="M45" s="12" t="inlineStr"/>
      <c r="N45" s="12" t="inlineStr"/>
      <c r="O45" s="12" t="inlineStr"/>
      <c r="P45" s="11" t="inlineStr"/>
    </row>
    <row r="46" ht="180" customHeight="1">
      <c r="A46" s="13" t="inlineStr">
        <is>
          <t>ANL-045</t>
        </is>
      </c>
      <c r="B46" s="14" t="inlineStr">
        <is>
          <t>Export</t>
        </is>
      </c>
      <c r="C46" s="14" t="inlineStr">
        <is>
          <t>Export &gt; PDF Report downloads a patient PDF reflecting current data</t>
        </is>
      </c>
      <c r="D46" s="15" t="inlineStr">
        <is>
          <t>High</t>
        </is>
      </c>
      <c r="E46" s="14" t="inlineStr">
        <is>
          <t>Functional</t>
        </is>
      </c>
      <c r="F46" s="14" t="inlineStr">
        <is>
          <t>Account A on Patient view with data.</t>
        </is>
      </c>
      <c r="G46" s="14" t="inlineStr">
        <is>
          <t>1. Click 'Export' to open the dropdown.
2. Click 'PDF Report'.
3. Open the downloaded file.</t>
        </is>
      </c>
      <c r="H46" s="14" t="inlineStr">
        <is>
          <t>N/A</t>
        </is>
      </c>
      <c r="I46" s="14" t="inlineStr">
        <is>
          <t>A file 'analytics-report-YYYY-MM-DD.pdf' downloads. It contains the title 'Patient Analytics Report', the period line matching the current date range, a Summary Statistics table (Total/New/Active Patients, Total Forms, Form Completion Rate, Avg Response Time), plus Age Distribution and Gender Distribution tables. While generating, the button reads 'Exporting...'. NOTE: the PDF/CSV header is branded 'CV Raman Health' — flag as a branding defect for a Saranam go-live.</t>
        </is>
      </c>
      <c r="J46" s="14" t="inlineStr">
        <is>
          <t>N/A (client-side jsPDF)</t>
        </is>
      </c>
      <c r="K46" s="11" t="inlineStr"/>
      <c r="L46" s="12" t="inlineStr">
        <is>
          <t>Not Executed</t>
        </is>
      </c>
      <c r="M46" s="12" t="inlineStr"/>
      <c r="N46" s="12" t="inlineStr"/>
      <c r="O46" s="12" t="inlineStr"/>
      <c r="P46" s="11" t="inlineStr"/>
    </row>
    <row r="47" ht="90" customHeight="1">
      <c r="A47" s="13" t="inlineStr">
        <is>
          <t>ANL-046</t>
        </is>
      </c>
      <c r="B47" s="14" t="inlineStr">
        <is>
          <t>Export</t>
        </is>
      </c>
      <c r="C47" s="14" t="inlineStr">
        <is>
          <t>Export &gt; CSV Data downloads a patient CSV</t>
        </is>
      </c>
      <c r="D47" s="15" t="inlineStr">
        <is>
          <t>High</t>
        </is>
      </c>
      <c r="E47" s="14" t="inlineStr">
        <is>
          <t>Functional</t>
        </is>
      </c>
      <c r="F47" s="14" t="inlineStr">
        <is>
          <t>Account A on Patient view with data.</t>
        </is>
      </c>
      <c r="G47" s="14" t="inlineStr">
        <is>
          <t>1. Click 'Export' &gt; 'CSV Data'.
2. Open the downloaded CSV.</t>
        </is>
      </c>
      <c r="H47" s="14" t="inlineStr">
        <is>
          <t>N/A</t>
        </is>
      </c>
      <c r="I47" s="14" t="inlineStr">
        <is>
          <t>A file 'analytics-report-YYYY-MM-DD.csv' downloads with header 'CV Raman Health - Analytics Report', the period line, a Summary Statistics block, and Age/Gender Distribution sections — values matching the on-screen Patient view.</t>
        </is>
      </c>
      <c r="J47" s="14" t="inlineStr">
        <is>
          <t>N/A (client-side)</t>
        </is>
      </c>
      <c r="K47" s="11" t="inlineStr"/>
      <c r="L47" s="12" t="inlineStr">
        <is>
          <t>Not Executed</t>
        </is>
      </c>
      <c r="M47" s="12" t="inlineStr"/>
      <c r="N47" s="12" t="inlineStr"/>
      <c r="O47" s="12" t="inlineStr"/>
      <c r="P47" s="11" t="inlineStr"/>
    </row>
    <row r="48" ht="105" customHeight="1">
      <c r="A48" s="13" t="inlineStr">
        <is>
          <t>ANL-047</t>
        </is>
      </c>
      <c r="B48" s="14" t="inlineStr">
        <is>
          <t>Export</t>
        </is>
      </c>
      <c r="C48" s="14" t="inlineStr">
        <is>
          <t>Export on the Forms view produces a form-flavoured report</t>
        </is>
      </c>
      <c r="D48" s="16" t="inlineStr">
        <is>
          <t>Medium</t>
        </is>
      </c>
      <c r="E48" s="14" t="inlineStr">
        <is>
          <t>Functional</t>
        </is>
      </c>
      <c r="F48" s="14" t="inlineStr">
        <is>
          <t>Account A on Forms tab with data.</t>
        </is>
      </c>
      <c r="G48" s="14" t="inlineStr">
        <is>
          <t>1. On the Forms tab, click Export &gt; PDF Report, then Export &gt; CSV Data.
2. Open both files.</t>
        </is>
      </c>
      <c r="H48" s="14" t="inlineStr">
        <is>
          <t>N/A</t>
        </is>
      </c>
      <c r="I48" s="14" t="inlineStr">
        <is>
          <t>Files titled 'Form Analytics Report' (PDF) contain Total Forms / Total Submissions / Avg Completion Rate / Avg Completion Time, plus Submission Status Breakdown and Top Forms by Usage tables. CSV mirrors these sections. Content matches the current Forms data and date range.</t>
        </is>
      </c>
      <c r="J48" s="14" t="inlineStr">
        <is>
          <t>N/A (client-side)</t>
        </is>
      </c>
      <c r="K48" s="11" t="inlineStr"/>
      <c r="L48" s="12" t="inlineStr">
        <is>
          <t>Not Executed</t>
        </is>
      </c>
      <c r="M48" s="12" t="inlineStr"/>
      <c r="N48" s="12" t="inlineStr"/>
      <c r="O48" s="12" t="inlineStr"/>
      <c r="P48" s="11" t="inlineStr"/>
    </row>
    <row r="49" ht="90" customHeight="1">
      <c r="A49" s="13" t="inlineStr">
        <is>
          <t>ANL-048</t>
        </is>
      </c>
      <c r="B49" s="14" t="inlineStr">
        <is>
          <t>Export</t>
        </is>
      </c>
      <c r="C49" s="14" t="inlineStr">
        <is>
          <t>Export respects the active date range / filter</t>
        </is>
      </c>
      <c r="D49" s="16" t="inlineStr">
        <is>
          <t>Medium</t>
        </is>
      </c>
      <c r="E49" s="14" t="inlineStr">
        <is>
          <t>Data Integrity</t>
        </is>
      </c>
      <c r="F49" s="14" t="inlineStr">
        <is>
          <t>Account A on Patient view.</t>
        </is>
      </c>
      <c r="G49" s="14" t="inlineStr">
        <is>
          <t>1. Set a specific custom range (e.g. 2026-01-01 to 2026-03-31) and/or patient_type=new.
2. Export to PDF.
3. Check the period line and figures in the file.</t>
        </is>
      </c>
      <c r="H49" s="14" t="inlineStr">
        <is>
          <t>2026-01-01 to 2026-03-31, patient_type=new</t>
        </is>
      </c>
      <c r="I49" s="14" t="inlineStr">
        <is>
          <t>The exported file's period line reads the chosen range and the summary/age/gender figures equal the currently displayed (filtered) data — i.e. export uses the same in-memory data the view rendered, not a fresh full-DB pull.</t>
        </is>
      </c>
      <c r="J49" s="14" t="inlineStr">
        <is>
          <t>N/A (client-side)</t>
        </is>
      </c>
      <c r="K49" s="11" t="inlineStr"/>
      <c r="L49" s="12" t="inlineStr">
        <is>
          <t>Not Executed</t>
        </is>
      </c>
      <c r="M49" s="12" t="inlineStr"/>
      <c r="N49" s="12" t="inlineStr"/>
      <c r="O49" s="12" t="inlineStr"/>
      <c r="P49" s="11" t="inlineStr"/>
    </row>
    <row r="50" ht="75" customHeight="1">
      <c r="A50" s="13" t="inlineStr">
        <is>
          <t>ANL-049</t>
        </is>
      </c>
      <c r="B50" s="14" t="inlineStr">
        <is>
          <t>Export</t>
        </is>
      </c>
      <c r="C50" s="14" t="inlineStr">
        <is>
          <t>Export with empty data does not crash and yields an empty report</t>
        </is>
      </c>
      <c r="D50" s="16" t="inlineStr">
        <is>
          <t>Medium</t>
        </is>
      </c>
      <c r="E50" s="14" t="inlineStr">
        <is>
          <t>Edge Case</t>
        </is>
      </c>
      <c r="F50" s="14" t="inlineStr">
        <is>
          <t>Account A; Patient view on an empty date window.</t>
        </is>
      </c>
      <c r="G50" s="14" t="inlineStr">
        <is>
          <t>1. Choose a range with no data so StatCards show 0.
2. Click Export &gt; PDF, then Export &gt; CSV.
3. Open the files.</t>
        </is>
      </c>
      <c r="H50" s="14" t="inlineStr">
        <is>
          <t>Empty window</t>
        </is>
      </c>
      <c r="I50" s="14" t="inlineStr">
        <is>
          <t>Files still download. Summary tables show 'N/A' / 0 values; Age and Gender sections are omitted (length 0 guards). No error alert ('Failed to generate ...') and no console crash.</t>
        </is>
      </c>
      <c r="J50" s="14" t="inlineStr">
        <is>
          <t>N/A (client-side)</t>
        </is>
      </c>
      <c r="K50" s="11" t="inlineStr"/>
      <c r="L50" s="12" t="inlineStr">
        <is>
          <t>Not Executed</t>
        </is>
      </c>
      <c r="M50" s="12" t="inlineStr"/>
      <c r="N50" s="12" t="inlineStr"/>
      <c r="O50" s="12" t="inlineStr"/>
      <c r="P50" s="11" t="inlineStr"/>
    </row>
    <row r="51" ht="150" customHeight="1">
      <c r="A51" s="13" t="inlineStr">
        <is>
          <t>ANL-050</t>
        </is>
      </c>
      <c r="B51" s="14" t="inlineStr">
        <is>
          <t>Export</t>
        </is>
      </c>
      <c r="C51" s="14" t="inlineStr">
        <is>
          <t>Export on Vitals / Donor tabs produces an empty/near-empty report (no view-specific data)</t>
        </is>
      </c>
      <c r="D51" s="16" t="inlineStr">
        <is>
          <t>Medium</t>
        </is>
      </c>
      <c r="E51" s="14" t="inlineStr">
        <is>
          <t>Edge Case</t>
        </is>
      </c>
      <c r="F51" s="14" t="inlineStr">
        <is>
          <t>Account A on the Vitals tab, then the Donor tab.</t>
        </is>
      </c>
      <c r="G51" s="14" t="inlineStr">
        <is>
          <t>1. On the Vitals tab, click the top-bar Export &gt; PDF.
2. On the Donor tab, click the top-bar Export &gt; PDF.
3. Open the files.</t>
        </is>
      </c>
      <c r="H51" s="14" t="inlineStr">
        <is>
          <t>N/A</t>
        </is>
      </c>
      <c r="I51" s="14" t="inlineStr">
        <is>
          <t>The top-bar ExportButton only builds data for the 'patient' and 'form' viewTypes; for 'vitals' and 'donor' the exportData prop is null, so the report contains only the title (defaults to 'Patient Analytics Report' since viewType isn't 'form') and date line with no statistics tables. FLAG: top-bar Export does not capture Vitals or Donor content — Donor has its own separate window.print() PDF button instead.</t>
        </is>
      </c>
      <c r="J51" s="14" t="inlineStr">
        <is>
          <t>N/A (client-side)</t>
        </is>
      </c>
      <c r="K51" s="11" t="inlineStr"/>
      <c r="L51" s="12" t="inlineStr">
        <is>
          <t>Not Executed</t>
        </is>
      </c>
      <c r="M51" s="12" t="inlineStr"/>
      <c r="N51" s="12" t="inlineStr"/>
      <c r="O51" s="12" t="inlineStr"/>
      <c r="P51" s="11" t="inlineStr"/>
    </row>
    <row r="52" ht="120" customHeight="1">
      <c r="A52" s="8" t="inlineStr">
        <is>
          <t>ANL-051</t>
        </is>
      </c>
      <c r="B52" s="9" t="inlineStr">
        <is>
          <t>Cross-Module Data Integrity</t>
        </is>
      </c>
      <c r="C52" s="9" t="inlineStr">
        <is>
          <t>Total Patients figure matches the Patients module</t>
        </is>
      </c>
      <c r="D52" s="10" t="inlineStr">
        <is>
          <t>High</t>
        </is>
      </c>
      <c r="E52" s="9" t="inlineStr">
        <is>
          <t>Data Integrity</t>
        </is>
      </c>
      <c r="F52" s="9" t="inlineStr">
        <is>
          <t>Account A; known patient count from the Patients list.</t>
        </is>
      </c>
      <c r="G52" s="9" t="inlineStr">
        <is>
          <t>1. Open the Patients module and note the total patient count (for an equivalent all-time / wide range).
2. Open /analytics (Patient) with a date range that covers all patients (e.g. Last 12 months or wider).
3. Compare the 'Total Patients' StatCard to the Patients-module count.</t>
        </is>
      </c>
      <c r="H52" s="9" t="inlineStr">
        <is>
          <t>Reference total patient count</t>
        </is>
      </c>
      <c r="I52" s="9" t="inlineStr">
        <is>
          <t>The 'Total Patients' value is consistent with the Patients module count for the same scope (allowing for date-range / status scoping rules). Any discrepancy is recorded with the exact numbers and the ranges used.</t>
        </is>
      </c>
      <c r="J52" s="9" t="inlineStr">
        <is>
          <t>GET /api/analytics/dashboard</t>
        </is>
      </c>
      <c r="K52" s="11" t="inlineStr"/>
      <c r="L52" s="12" t="inlineStr">
        <is>
          <t>Not Executed</t>
        </is>
      </c>
      <c r="M52" s="12" t="inlineStr"/>
      <c r="N52" s="12" t="inlineStr"/>
      <c r="O52" s="12" t="inlineStr"/>
      <c r="P52" s="11" t="inlineStr"/>
    </row>
    <row r="53" ht="90" customHeight="1">
      <c r="A53" s="8" t="inlineStr">
        <is>
          <t>ANL-052</t>
        </is>
      </c>
      <c r="B53" s="9" t="inlineStr">
        <is>
          <t>Cross-Module Data Integrity</t>
        </is>
      </c>
      <c r="C53" s="9" t="inlineStr">
        <is>
          <t>Newly added patient appears in analytics after refresh</t>
        </is>
      </c>
      <c r="D53" s="17" t="inlineStr">
        <is>
          <t>Medium</t>
        </is>
      </c>
      <c r="E53" s="9" t="inlineStr">
        <is>
          <t>Data Integrity</t>
        </is>
      </c>
      <c r="F53" s="9" t="inlineStr">
        <is>
          <t>Account A; ability to register a patient.</t>
        </is>
      </c>
      <c r="G53" s="9" t="inlineStr">
        <is>
          <t>1. Note Total Patients / New Patients on the Patient view.
2. Register a new patient (dated within the selected range) via the Patients module.
3. Return to /analytics and click Refresh (or change and restore the range).</t>
        </is>
      </c>
      <c r="H53" s="9" t="inlineStr">
        <is>
          <t>New patient dated 2026-06-01</t>
        </is>
      </c>
      <c r="I53" s="9" t="inlineStr">
        <is>
          <t>After refresh, Total Patients (and New Patients, if in the new-patient window) increments by 1 and the registration-trend chart reflects the addition. No stale cache.</t>
        </is>
      </c>
      <c r="J53" s="9" t="inlineStr">
        <is>
          <t>GET /api/analytics/dashboard</t>
        </is>
      </c>
      <c r="K53" s="11" t="inlineStr"/>
      <c r="L53" s="12" t="inlineStr">
        <is>
          <t>Not Executed</t>
        </is>
      </c>
      <c r="M53" s="12" t="inlineStr"/>
      <c r="N53" s="12" t="inlineStr"/>
      <c r="O53" s="12" t="inlineStr"/>
      <c r="P53" s="11" t="inlineStr"/>
    </row>
    <row r="54" ht="75" customHeight="1">
      <c r="A54" s="8" t="inlineStr">
        <is>
          <t>ANL-053</t>
        </is>
      </c>
      <c r="B54" s="9" t="inlineStr">
        <is>
          <t>Cross-Module Data Integrity</t>
        </is>
      </c>
      <c r="C54" s="9" t="inlineStr">
        <is>
          <t>Deaths(30d) matches deceased patients marked in the last 30 days</t>
        </is>
      </c>
      <c r="D54" s="17" t="inlineStr">
        <is>
          <t>Medium</t>
        </is>
      </c>
      <c r="E54" s="9" t="inlineStr">
        <is>
          <t>Data Integrity</t>
        </is>
      </c>
      <c r="F54" s="9" t="inlineStr">
        <is>
          <t>Account A; known set of patients marked deceased in last 30 days.</t>
        </is>
      </c>
      <c r="G54" s="9" t="inlineStr">
        <is>
          <t>1. From the Patients module, count patients with a death date within the last 30 days.
2. Open /analytics (Patient) and read 'Deaths (Last 30 Days)'.
3. Compare.</t>
        </is>
      </c>
      <c r="H54" s="9" t="inlineStr">
        <is>
          <t>window_days=30</t>
        </is>
      </c>
      <c r="I54" s="9" t="inlineStr">
        <is>
          <t>The Deaths (Last 30 Days) KPI equals the count of patients with a death date in the trailing 30-day window. The same figure appears on the Vitals tab 'Deaths (last 30 days)' card.</t>
        </is>
      </c>
      <c r="J54" s="9" t="inlineStr">
        <is>
          <t>GET /api/analytics/deaths/impact</t>
        </is>
      </c>
      <c r="K54" s="11" t="inlineStr"/>
      <c r="L54" s="12" t="inlineStr">
        <is>
          <t>Not Executed</t>
        </is>
      </c>
      <c r="M54" s="12" t="inlineStr"/>
      <c r="N54" s="12" t="inlineStr"/>
      <c r="O54" s="12" t="inlineStr"/>
      <c r="P54" s="11" t="inlineStr"/>
    </row>
    <row r="55" ht="150" customHeight="1">
      <c r="A55" s="13" t="inlineStr">
        <is>
          <t>ANL-054</t>
        </is>
      </c>
      <c r="B55" s="14" t="inlineStr">
        <is>
          <t>Session &amp; Network</t>
        </is>
      </c>
      <c r="C55" s="14" t="inlineStr">
        <is>
          <t>Expired token on analytics calls does NOT silently refresh (raw axios)</t>
        </is>
      </c>
      <c r="D55" s="16" t="inlineStr">
        <is>
          <t>Medium</t>
        </is>
      </c>
      <c r="E55" s="14" t="inlineStr">
        <is>
          <t>Negative</t>
        </is>
      </c>
      <c r="F55" s="14" t="inlineStr">
        <is>
          <t>Account A; valid refresh_token present; ability to expire access_token.</t>
        </is>
      </c>
      <c r="G55" s="14" t="inlineStr">
        <is>
          <t>1. Open /analytics.
2. Expire/replace the access_token with an invalid one (keep a valid refresh_token).
3. Trigger a refetch (Refresh or range change) and watch Network.</t>
        </is>
      </c>
      <c r="H55" s="14" t="inlineStr">
        <is>
          <t>N/A</t>
        </is>
      </c>
      <c r="I55" s="14" t="inlineStr">
        <is>
          <t>The /api/analytics/* call returns 401 and the view shows an error state — there is NO automatic POST /auth/refresh retry, because the dashboard/vitals/donor calls use a raw axios instance rather than the shared apiClient interceptor. FLAG this inconsistency: other modules auto-refresh on 401, analytics does not. (Compare with API calls made through apiClient elsewhere which would refresh-and-retry.)</t>
        </is>
      </c>
      <c r="J55" s="14" t="inlineStr">
        <is>
          <t>GET /api/analytics/dashboard</t>
        </is>
      </c>
      <c r="K55" s="11" t="inlineStr"/>
      <c r="L55" s="12" t="inlineStr">
        <is>
          <t>Not Executed</t>
        </is>
      </c>
      <c r="M55" s="12" t="inlineStr"/>
      <c r="N55" s="12" t="inlineStr"/>
      <c r="O55" s="12" t="inlineStr"/>
      <c r="P55" s="11" t="inlineStr"/>
    </row>
    <row r="56" ht="90" customHeight="1">
      <c r="A56" s="13" t="inlineStr">
        <is>
          <t>ANL-055</t>
        </is>
      </c>
      <c r="B56" s="14" t="inlineStr">
        <is>
          <t>Session &amp; Network</t>
        </is>
      </c>
      <c r="C56" s="14" t="inlineStr">
        <is>
          <t>Network timeout / offline shows an error, not a crash</t>
        </is>
      </c>
      <c r="D56" s="16" t="inlineStr">
        <is>
          <t>Medium</t>
        </is>
      </c>
      <c r="E56" s="14" t="inlineStr">
        <is>
          <t>Negative</t>
        </is>
      </c>
      <c r="F56" s="14" t="inlineStr">
        <is>
          <t>Account A on /analytics; DevTools able to set Offline.</t>
        </is>
      </c>
      <c r="G56" s="14" t="inlineStr">
        <is>
          <t>1. Set the network to Offline (or block the API host).
2. Click Refresh on the Patient view.
3. Observe; then on the Donor view repeat.</t>
        </is>
      </c>
      <c r="H56" s="14" t="inlineStr">
        <is>
          <t>N/A</t>
        </is>
      </c>
      <c r="I56" s="14" t="inlineStr">
        <is>
          <t>Patient/Forms view shows the 'Error loading dashboard' panel with 'Try Again'; Donor view shows its red error card. No infinite spinner deadlock and no uncaught exception. Restoring the network and clicking Try Again / Refresh recovers.</t>
        </is>
      </c>
      <c r="J56" s="14" t="inlineStr">
        <is>
          <t>GET /api/analytics/dashboard, GET /api/analytics/donor/overview</t>
        </is>
      </c>
      <c r="K56" s="11" t="inlineStr"/>
      <c r="L56" s="12" t="inlineStr">
        <is>
          <t>Not Executed</t>
        </is>
      </c>
      <c r="M56" s="12" t="inlineStr"/>
      <c r="N56" s="12" t="inlineStr"/>
      <c r="O56" s="12" t="inlineStr"/>
      <c r="P56" s="11" t="inlineStr"/>
    </row>
    <row r="57" ht="75" customHeight="1">
      <c r="A57" s="8" t="inlineStr">
        <is>
          <t>ANL-056</t>
        </is>
      </c>
      <c r="B57" s="9" t="inlineStr">
        <is>
          <t>Advanced Form Analytics (Out of Scope - Guard Only)</t>
        </is>
      </c>
      <c r="C57" s="9" t="inlineStr">
        <is>
          <t>/analytics/forms loads under the view_analytics guard</t>
        </is>
      </c>
      <c r="D57" s="19" t="inlineStr">
        <is>
          <t>Low</t>
        </is>
      </c>
      <c r="E57" s="9" t="inlineStr">
        <is>
          <t>Permission</t>
        </is>
      </c>
      <c r="F57" s="9" t="inlineStr">
        <is>
          <t>Account A (has view_analytics).</t>
        </is>
      </c>
      <c r="G57" s="9" t="inlineStr">
        <is>
          <t>1. Navigate to /analytics/forms directly (or via the 'Advanced Form Analytics Hub' button).
2. Confirm the Hub page renders.</t>
        </is>
      </c>
      <c r="H57" s="9" t="inlineStr">
        <is>
          <t>N/A</t>
        </is>
      </c>
      <c r="I57" s="9" t="inlineStr">
        <is>
          <t>The Advanced Form Analytics Hub loads (it is behind ProtectedRoute requiredPermission=view_analytics). DEEP form-analytics behaviour is OUT OF SCOPE for this engagement — only confirm load + guard.</t>
        </is>
      </c>
      <c r="J57" s="9" t="inlineStr">
        <is>
          <t>N/A</t>
        </is>
      </c>
      <c r="K57" s="11" t="inlineStr"/>
      <c r="L57" s="12" t="inlineStr">
        <is>
          <t>Not Executed</t>
        </is>
      </c>
      <c r="M57" s="12" t="inlineStr"/>
      <c r="N57" s="12" t="inlineStr"/>
      <c r="O57" s="12" t="inlineStr"/>
      <c r="P57" s="11" t="inlineStr"/>
    </row>
    <row r="58" ht="60" customHeight="1">
      <c r="A58" s="8" t="inlineStr">
        <is>
          <t>ANL-057</t>
        </is>
      </c>
      <c r="B58" s="9" t="inlineStr">
        <is>
          <t>Advanced Form Analytics (Out of Scope - Guard Only)</t>
        </is>
      </c>
      <c r="C58" s="9" t="inlineStr">
        <is>
          <t>/analytics/forms and /analytics/forms/:formId blocked without permission</t>
        </is>
      </c>
      <c r="D58" s="19" t="inlineStr">
        <is>
          <t>Low</t>
        </is>
      </c>
      <c r="E58" s="9" t="inlineStr">
        <is>
          <t>Permission</t>
        </is>
      </c>
      <c r="F58" s="9" t="inlineStr">
        <is>
          <t>Account B (no view_analytics).</t>
        </is>
      </c>
      <c r="G58" s="9" t="inlineStr">
        <is>
          <t>1. As Account B, open /analytics/forms and then /analytics/forms/&lt;any-form-id&gt; directly.
2. Observe.</t>
        </is>
      </c>
      <c r="H58" s="9" t="inlineStr">
        <is>
          <t>any formId</t>
        </is>
      </c>
      <c r="I58" s="9" t="inlineStr">
        <is>
          <t>Both routes show the ProtectedRoute 'Access Denied' panel (same guard as /analytics). Deep deep-dive testing remains OUT OF SCOPE.</t>
        </is>
      </c>
      <c r="J58" s="9" t="inlineStr">
        <is>
          <t>N/A</t>
        </is>
      </c>
      <c r="K58" s="11" t="inlineStr"/>
      <c r="L58" s="12" t="inlineStr">
        <is>
          <t>Not Executed</t>
        </is>
      </c>
      <c r="M58" s="12" t="inlineStr"/>
      <c r="N58" s="12" t="inlineStr"/>
      <c r="O58" s="12" t="inlineStr"/>
      <c r="P58" s="11" t="inlineStr"/>
    </row>
  </sheetData>
  <autoFilter ref="A1:P58"/>
  <conditionalFormatting sqref="L2:L5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Executed"</formula>
    </cfRule>
  </conditionalFormatting>
  <dataValidations count="2">
    <dataValidation sqref="L2:L58" showDropDown="0" showInputMessage="0" showErrorMessage="0" allowBlank="1" type="list">
      <formula1>"Not Executed,Pass,Fail,Blocked,N/A"</formula1>
    </dataValidation>
    <dataValidation sqref="M2:M58"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2026-06-01T12:52:17Z</dcterms:created>
  <dcterms:modified xmlns:dcterms="http://purl.org/dc/terms/" xmlns:xsi="http://www.w3.org/2001/XMLSchema-instance" xsi:type="dcterms:W3CDTF">2026-06-01T12:52:17Z</dcterms:modified>
</cp:coreProperties>
</file>