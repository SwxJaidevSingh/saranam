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ule Info" sheetId="1" state="visible" r:id="rId1"/>
    <sheet xmlns:r="http://schemas.openxmlformats.org/officeDocument/2006/relationships" name="Test Cases" sheetId="2" state="visible" r:id="rId2"/>
  </sheets>
  <definedNames>
    <definedName name="_xlnm._FilterDatabase" localSheetId="1" hidden="1">'Test Cases'!$A$1:$P$53</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b val="1"/>
      <color rgb="00FFFFFF"/>
      <sz val="10"/>
    </font>
    <font>
      <sz val="9"/>
    </font>
    <font>
      <b val="1"/>
      <sz val="9"/>
    </font>
    <font>
      <b val="1"/>
      <color rgb="009C0006"/>
      <sz val="9"/>
    </font>
    <font>
      <b val="1"/>
      <color rgb="009C6500"/>
      <sz val="9"/>
    </font>
    <font>
      <b val="1"/>
      <color rgb="00375623"/>
      <sz val="9"/>
    </font>
    <font>
      <b val="1"/>
      <color rgb="00FFFFFF"/>
      <sz val="14"/>
    </font>
    <font>
      <b val="1"/>
      <sz val="10"/>
    </font>
    <font>
      <sz val="10"/>
    </font>
  </fonts>
  <fills count="6">
    <fill>
      <patternFill/>
    </fill>
    <fill>
      <patternFill patternType="gray125"/>
    </fill>
    <fill>
      <patternFill patternType="solid">
        <fgColor rgb="001F3864"/>
      </patternFill>
    </fill>
    <fill>
      <patternFill patternType="solid">
        <fgColor rgb="00F2F6FC"/>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7" fillId="2" borderId="0" applyAlignment="1" pivotButton="0" quotePrefix="0" xfId="0">
      <alignment horizontal="left" vertical="center" indent="1"/>
    </xf>
    <xf numFmtId="0" fontId="8" fillId="5" borderId="0" applyAlignment="1" pivotButton="0" quotePrefix="0" xfId="0">
      <alignment vertical="top" wrapText="1"/>
    </xf>
    <xf numFmtId="0" fontId="9" fillId="0" borderId="0" applyAlignment="1" pivotButton="0" quotePrefix="0" xfId="0">
      <alignment vertical="top" wrapText="1"/>
    </xf>
    <xf numFmtId="0" fontId="8" fillId="5" borderId="0" pivotButton="0" quotePrefix="0" xfId="0"/>
    <xf numFmtId="0" fontId="9" fillId="0" borderId="0" pivotButton="0" quotePrefix="0" xfId="0"/>
    <xf numFmtId="164" fontId="9"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xf>
    <xf numFmtId="0" fontId="2" fillId="3" borderId="1" applyAlignment="1" pivotButton="0" quotePrefix="0" xfId="0">
      <alignment horizontal="left" vertical="top" wrapText="1"/>
    </xf>
    <xf numFmtId="0" fontId="4" fillId="3" borderId="1" applyAlignment="1" pivotButton="0" quotePrefix="0" xfId="0">
      <alignment horizontal="center" vertical="top"/>
    </xf>
    <xf numFmtId="0" fontId="2" fillId="4" borderId="1" applyAlignment="1" pivotButton="0" quotePrefix="0" xfId="0">
      <alignment horizontal="left" vertical="top" wrapText="1"/>
    </xf>
    <xf numFmtId="0" fontId="2" fillId="4" borderId="1" applyAlignment="1" pivotButton="0" quotePrefix="0" xfId="0">
      <alignment horizontal="center" vertical="top"/>
    </xf>
    <xf numFmtId="0" fontId="5" fillId="3" borderId="1" applyAlignment="1" pivotButton="0" quotePrefix="0" xfId="0">
      <alignment horizontal="center" vertical="top"/>
    </xf>
    <xf numFmtId="0" fontId="3" fillId="0" borderId="1" applyAlignment="1" pivotButton="0" quotePrefix="0" xfId="0">
      <alignment horizontal="center" vertical="top"/>
    </xf>
    <xf numFmtId="0" fontId="2" fillId="0" borderId="1" applyAlignment="1" pivotButton="0" quotePrefix="0" xfId="0">
      <alignment horizontal="left" vertical="top" wrapText="1"/>
    </xf>
    <xf numFmtId="0" fontId="5" fillId="0" borderId="1" applyAlignment="1" pivotButton="0" quotePrefix="0" xfId="0">
      <alignment horizontal="center" vertical="top"/>
    </xf>
    <xf numFmtId="0" fontId="4" fillId="0" borderId="1" applyAlignment="1" pivotButton="0" quotePrefix="0" xfId="0">
      <alignment horizontal="center" vertical="top"/>
    </xf>
    <xf numFmtId="0" fontId="6" fillId="0" borderId="1" applyAlignment="1" pivotButton="0" quotePrefix="0" xfId="0">
      <alignment horizontal="center" vertical="top"/>
    </xf>
    <xf numFmtId="0" fontId="6" fillId="3" borderId="1" applyAlignment="1" pivotButton="0" quotePrefix="0" xfId="0">
      <alignment horizontal="center" vertical="top"/>
    </xf>
  </cellXfs>
  <cellStyles count="1">
    <cellStyle name="Normal" xfId="0" builtinId="0" hidden="0"/>
  </cellStyles>
  <dxfs count="4">
    <dxf>
      <font>
        <b val="1"/>
        <color rgb="00006100"/>
      </font>
      <fill>
        <patternFill patternType="solid">
          <fgColor rgb="00C6EFCE"/>
        </patternFill>
      </fill>
    </dxf>
    <dxf>
      <font>
        <b val="1"/>
        <color rgb="009C0006"/>
      </font>
      <fill>
        <patternFill patternType="solid">
          <fgColor rgb="00FFC7CE"/>
        </patternFill>
      </fill>
    </dxf>
    <dxf>
      <font>
        <b val="1"/>
        <color rgb="009C6500"/>
      </font>
      <fill>
        <patternFill patternType="solid">
          <fgColor rgb="00FFEB9C"/>
        </patternFill>
      </fill>
    </dxf>
    <dxf>
      <font>
        <color rgb="0059595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showGridLines="0" workbookViewId="0">
      <selection activeCell="A1" sqref="A1"/>
    </sheetView>
  </sheetViews>
  <sheetFormatPr baseColWidth="8" defaultRowHeight="15"/>
  <cols>
    <col width="26" customWidth="1" min="1" max="1"/>
    <col width="95" customWidth="1" min="2" max="2"/>
  </cols>
  <sheetData>
    <row r="1" ht="26" customHeight="1">
      <c r="A1" s="1" t="inlineStr">
        <is>
          <t>Users  —  Manual Test Plan</t>
        </is>
      </c>
    </row>
    <row r="2" ht="18" customHeight="1">
      <c r="A2" s="2" t="inlineStr">
        <is>
          <t>Platform</t>
        </is>
      </c>
      <c r="B2" s="3" t="inlineStr">
        <is>
          <t>Saranam India Health Care  (https://saranam.fieldintel.ai)</t>
        </is>
      </c>
    </row>
    <row r="3" ht="18" customHeight="1">
      <c r="A3" s="2" t="inlineStr">
        <is>
          <t>Module Code</t>
        </is>
      </c>
      <c r="B3" s="3" t="inlineStr">
        <is>
          <t>USR</t>
        </is>
      </c>
    </row>
    <row r="4" ht="18" customHeight="1">
      <c r="A4" s="2" t="inlineStr">
        <is>
          <t>Document Version</t>
        </is>
      </c>
      <c r="B4" s="3" t="inlineStr">
        <is>
          <t>1.0</t>
        </is>
      </c>
    </row>
    <row r="5" ht="18" customHeight="1">
      <c r="A5" s="2" t="inlineStr">
        <is>
          <t>Total Test Cases</t>
        </is>
      </c>
      <c r="B5" s="3" t="inlineStr">
        <is>
          <t>52</t>
        </is>
      </c>
    </row>
    <row r="6" ht="18" customHeight="1">
      <c r="A6" s="2" t="inlineStr">
        <is>
          <t>Test Type</t>
        </is>
      </c>
      <c r="B6" s="3" t="inlineStr">
        <is>
          <t>Manual</t>
        </is>
      </c>
    </row>
    <row r="7" ht="18" customHeight="1">
      <c r="A7" s="2" t="inlineStr">
        <is>
          <t>Prepared / Reviewed</t>
        </is>
      </c>
      <c r="B7" s="3" t="inlineStr">
        <is>
          <t>____________________     Date: ____________</t>
        </is>
      </c>
    </row>
    <row r="9" ht="26" customHeight="1">
      <c r="A9" s="1" t="inlineStr">
        <is>
          <t>1. Scope</t>
        </is>
      </c>
    </row>
    <row r="10" ht="150" customHeight="1">
      <c r="A10" s="2" t="inlineStr">
        <is>
          <t>Summary</t>
        </is>
      </c>
      <c r="B10" s="3" t="inlineStr">
        <is>
          <t>Manual GO-LIVE test pack for the Users module of Saranam India Health Care (https://saranam.fieldintel.ai). Covers the /users admin screen (UsersList), the Edit User modal, role/permission based access control, and every Users API endpoint derived from frontend/src/api/users.js and backend/app/users/routes.py. The module is admin-only: the /users route is guarded by ProtectedRoute requiredRole='admin' and the sidebar 'Users' item is gated by the manage_users permission (only the admin role holds it). All Users API endpoints are protected by @require_permission('manage_users'). User CREATION is NOT performed from this screen in the current build: new users self-register at /register (pending admin approval) and admins then Approve/Reject/Edit/Activate/Deactivate them. Pack includes positive, negative, validation, permission, API, empty/loading-state, edge-case and data-integrity cases.</t>
        </is>
      </c>
    </row>
    <row r="11" ht="160" customHeight="1">
      <c r="A11" s="2" t="inlineStr">
        <is>
          <t>In Scope</t>
        </is>
      </c>
      <c r="B11" s="3" t="inlineStr">
        <is>
          <t>• Users list screen at /users (load, loading skeleton, empty state, error alert, row display)
• Client-side search (name/email) and status filter (all/pending/active/inactive)
• Pending-approval badge and count behaviour
• Approve pending user (POST /users/{id}/approve)
• Reject pending user with confirm prompt (POST /users/{id}/reject)
• Activate / Deactivate approved user (PUT /users/{id}/toggle-status)
• Edit User modal: full_name, email, role; save/cancel/close; validation; success/error
• Role &amp; permission integrity (role change alters access; deactivated/unapproved cannot log in)
• Access control: admin only; non-admin blocked/redirected; sidebar item hidden
• API request/response, status codes, 401/403 handling, error mapping
• Data integrity of is_active / is_approved flags after each action</t>
        </is>
      </c>
    </row>
    <row r="12" ht="160" customHeight="1">
      <c r="A12" s="2" t="inlineStr">
        <is>
          <t>Out of Scope</t>
        </is>
      </c>
      <c r="B12" s="3" t="inlineStr">
        <is>
          <t>• Admin-initiated user creation from /users (no Create/Add UI exists in this build)
• Phone / +91 mobile number capture (no phone field exists in the User model or any user form)
• Hard delete of users (no delete endpoint exists; only soft-delete via reject / deactivate)
• Password reset / change password from the Users screen (no such control exists here)
• Temporary-password generation (not implemented)
• Server-side pagination/role-filter exercised from the UI (UI fetches all users and filters client-side)
• Public self-registration flow at /register (covered by the Auth module test pack), tested here only as the user-creation precondition
• API key / service-account management</t>
        </is>
      </c>
    </row>
    <row r="14" ht="26" customHeight="1">
      <c r="A14" s="1" t="inlineStr">
        <is>
          <t>2. Roles &amp; Access</t>
        </is>
      </c>
    </row>
    <row r="15" ht="160" customHeight="1">
      <c r="A15" s="2" t="inlineStr">
        <is>
          <t>Access</t>
        </is>
      </c>
      <c r="B15" s="3" t="inlineStr">
        <is>
          <t>Roles defined in backend Enum 'user_role' (app/common/models.py) and validated in schemas: admin, data_entry, viewer (exactly three; no doctor/nurse roles exist). Permission map (identical in backend User.has_permission and frontend AuthContext.hasPermission): admin = [create_form, edit_form, delete_form, view_form, submit_form, view_submission, view_analytics, manage_users]; data_entry = [view_form, submit_form, view_submission]; viewer = [view_form, view_submission, view_analytics]. Only 'admin' holds 'manage_users'. ACCESS to Users: (1) /users route is wrapped in ProtectedRoute requiredRole='admin' -&gt; non-admins see an 'Access Denied' panel; unauthenticated users are redirected to /login. (2) The sidebar 'Users' nav item has permission:'manage_users' and is filtered out for non-admins. (3) Every backend Users endpoint uses @require_permission('manage_users') -&gt; non-admin tokens get HTTP 403 {error:'insufficient_permissions'}; missing/expired tokens get HTTP 401. User account state gates login: register sets is_approved=False (pending); login is blocked with a specific message if is_approved=False ('pending admin approval') or is_active=False ('account deactivated').</t>
        </is>
      </c>
    </row>
    <row r="17" ht="26" customHeight="1">
      <c r="A17" s="1" t="inlineStr">
        <is>
          <t>3. Screens &amp; Routes</t>
        </is>
      </c>
    </row>
    <row r="18" ht="18" customHeight="1">
      <c r="A18" s="2" t="inlineStr">
        <is>
          <t>Users List</t>
        </is>
      </c>
      <c r="B18" s="3" t="inlineStr">
        <is>
          <t>/users</t>
        </is>
      </c>
    </row>
    <row r="19" ht="18" customHeight="1">
      <c r="A19" s="2" t="inlineStr">
        <is>
          <t>Edit User Modal (overlay on /users)</t>
        </is>
      </c>
      <c r="B19" s="3" t="inlineStr">
        <is>
          <t>/users</t>
        </is>
      </c>
    </row>
    <row r="20" ht="18" customHeight="1">
      <c r="A20" s="2" t="inlineStr">
        <is>
          <t>Register (user-creation precondition only)</t>
        </is>
      </c>
      <c r="B20" s="3" t="inlineStr">
        <is>
          <t>/register</t>
        </is>
      </c>
    </row>
    <row r="21" ht="18" customHeight="1">
      <c r="A21" s="2" t="inlineStr">
        <is>
          <t>Login (re-auth / blocked-user verification)</t>
        </is>
      </c>
      <c r="B21" s="3" t="inlineStr">
        <is>
          <t>/login</t>
        </is>
      </c>
    </row>
    <row r="23" ht="26" customHeight="1">
      <c r="A23" s="1" t="inlineStr">
        <is>
          <t>4. API Endpoints</t>
        </is>
      </c>
    </row>
    <row r="24" ht="60" customHeight="1">
      <c r="A24" s="2" t="inlineStr">
        <is>
          <t>GET  /api/users</t>
        </is>
      </c>
      <c r="B24" s="3" t="inlineStr">
        <is>
          <t>List users. Query params role, status(active|inactive), approval(approved|pending|rejected), search, page(default 1), per_page(default 50, capped 100). Returns {users,total,page,per_page,message}. NOTE: frontend usersApi.getAllUsers() sends no params; filtering/search is done client-side. Requires manage_users.</t>
        </is>
      </c>
    </row>
    <row r="25" ht="30" customHeight="1">
      <c r="A25" s="2" t="inlineStr">
        <is>
          <t>GET  /api/users/{user_id}</t>
        </is>
      </c>
      <c r="B25" s="3" t="inlineStr">
        <is>
          <t>Get single user by UUID. 200 {user,message} or 404 {error:'user_not_found'}. (No UI caller in UsersList; API-level only.) Requires manage_users.</t>
        </is>
      </c>
    </row>
    <row r="26" ht="30" customHeight="1">
      <c r="A26" s="2" t="inlineStr">
        <is>
          <t>POST  /api/users/{user_id}/approve</t>
        </is>
      </c>
      <c r="B26" s="3" t="inlineStr">
        <is>
          <t>Approve a pending user -&gt; is_approved=True, is_active=True. 200 {user,message}; 400 {error:'approve_failed'} (e.g. already approved). Requires manage_users.</t>
        </is>
      </c>
    </row>
    <row r="27" ht="30" customHeight="1">
      <c r="A27" s="2" t="inlineStr">
        <is>
          <t>POST  /api/users/{user_id}/reject</t>
        </is>
      </c>
      <c r="B27" s="3" t="inlineStr">
        <is>
          <t>Reject/soft-delete a user -&gt; is_approved=False, is_active=False. 200 {user,message}; 400 {error:'reject_failed'}. Requires manage_users.</t>
        </is>
      </c>
    </row>
    <row r="28" ht="45" customHeight="1">
      <c r="A28" s="2" t="inlineStr">
        <is>
          <t>PUT  /api/users/{user_id}</t>
        </is>
      </c>
      <c r="B28" s="3" t="inlineStr">
        <is>
          <t>Update full_name (&gt;=2 chars), email (valid + unique), role (admin|data_entry|viewer). Validated by UpdateUserSchema (marshmallow). 200 {user,message}; 400 validation/{error:'update_failed'} incl. 'Email already in use'/'Invalid role'. Requires manage_users.</t>
        </is>
      </c>
    </row>
    <row r="29" ht="30" customHeight="1">
      <c r="A29" s="2" t="inlineStr">
        <is>
          <t>PUT  /api/users/{user_id}/toggle-status</t>
        </is>
      </c>
      <c r="B29" s="3" t="inlineStr">
        <is>
          <t>Flip is_active (Activate&lt;-&gt;Deactivate). 200 {user,message}; 400 {error:'toggle_failed'}. Requires manage_users.</t>
        </is>
      </c>
    </row>
    <row r="30" ht="18" customHeight="1">
      <c r="A30" s="2" t="inlineStr">
        <is>
          <t>GET  /api/users/pending/count</t>
        </is>
      </c>
      <c r="B30" s="3" t="inlineStr">
        <is>
          <t>Count of users with is_approved=False AND is_active=True. 200 {count}. Requires manage_users.</t>
        </is>
      </c>
    </row>
    <row r="31" ht="45" customHeight="1">
      <c r="A31" s="2" t="inlineStr">
        <is>
          <t>POST  /api/auth/register</t>
        </is>
      </c>
      <c r="B31" s="3" t="inlineStr">
        <is>
          <t>Self-registration (user-creation precondition). Body email,password(&gt;=8),full_name(&gt;=2),role(default viewer). Creates user is_approved=False. 201 {user,message}; 400 duplicate/validation. Public (no auth).</t>
        </is>
      </c>
    </row>
    <row r="32" ht="30" customHeight="1">
      <c r="A32" s="2" t="inlineStr">
        <is>
          <t>POST  /api/auth/login</t>
        </is>
      </c>
      <c r="B32" s="3" t="inlineStr">
        <is>
          <t>Login for re-auth / verifying blocked users. 200 with tokens; 401 'Invalid credentials' / 'pending admin approval' / 'account deactivated'.</t>
        </is>
      </c>
    </row>
    <row r="34" ht="26" customHeight="1">
      <c r="A34" s="1" t="inlineStr">
        <is>
          <t>5. Test Data / Preconditions</t>
        </is>
      </c>
    </row>
    <row r="35" ht="160" customHeight="1">
      <c r="A35" s="2" t="inlineStr">
        <is>
          <t>Setup</t>
        </is>
      </c>
      <c r="B35" s="3" t="inlineStr">
        <is>
          <t>• Admin account (manage_users): admin_qa@saranam.in / Admin@123. Used to access /users.
• Second admin account (to test last-admin / self-demotion edges): admin2_qa@saranam.in / Admin@123, role=admin, approved+active.
• Data-entry account: rajesh.kumar@saranam.in / Data@1234, role=data_entry, approved+active (used to verify non-admin block).
• Viewer account: anjali.nair@saranam.in / View@1234, role=viewer, approved+active (used to verify non-admin block).
• Pending account (just self-registered, not yet approved): priya.menon@saranam.in / Pend@1234, is_approved=False, is_active=True.
• Rejected/soft-deleted account: suresh.iyer@saranam.in, is_approved=False, is_active=False.
• Deactivated approved account: meena.raman@saranam.in, is_approved=True, is_active=False.
• At least ~12 total users so search/filter/skeleton are meaningful; note creation date for the 'Joined' column.
• Browser DevTools Network tab open to inspect request method/path/payload and HTTP status for every action.
• Known existing email for duplicate test: rajesh.kumar@saranam.in.</t>
        </is>
      </c>
    </row>
    <row r="37" ht="26" customHeight="1">
      <c r="A37" s="1" t="inlineStr">
        <is>
          <t>6. Execution Summary  (auto-calculated)</t>
        </is>
      </c>
    </row>
    <row r="38">
      <c r="A38" s="4" t="inlineStr">
        <is>
          <t>Total Cases</t>
        </is>
      </c>
      <c r="B38" s="5">
        <f>COUNTA('Test Cases'!A2:A53)</f>
        <v/>
      </c>
    </row>
    <row r="39">
      <c r="A39" s="4" t="inlineStr">
        <is>
          <t>Pass</t>
        </is>
      </c>
      <c r="B39" s="5">
        <f>COUNTIF('Test Cases'!L2:L53,"Pass")</f>
        <v/>
      </c>
    </row>
    <row r="40">
      <c r="A40" s="4" t="inlineStr">
        <is>
          <t>Fail</t>
        </is>
      </c>
      <c r="B40" s="5">
        <f>COUNTIF('Test Cases'!L2:L53,"Fail")</f>
        <v/>
      </c>
    </row>
    <row r="41">
      <c r="A41" s="4" t="inlineStr">
        <is>
          <t>Blocked</t>
        </is>
      </c>
      <c r="B41" s="5">
        <f>COUNTIF('Test Cases'!L2:L53,"Blocked")</f>
        <v/>
      </c>
    </row>
    <row r="42">
      <c r="A42" s="4" t="inlineStr">
        <is>
          <t>N/A</t>
        </is>
      </c>
      <c r="B42" s="5">
        <f>COUNTIF('Test Cases'!L2:L53,"N/A")</f>
        <v/>
      </c>
    </row>
    <row r="43">
      <c r="A43" s="4" t="inlineStr">
        <is>
          <t>Not Executed</t>
        </is>
      </c>
      <c r="B43" s="5">
        <f>COUNTIF('Test Cases'!L2:L53,"Not Executed")</f>
        <v/>
      </c>
    </row>
    <row r="44">
      <c r="A44" s="4" t="inlineStr">
        <is>
          <t>% Executed</t>
        </is>
      </c>
      <c r="B44" s="6">
        <f>IF(B38=0,0,(B38-COUNTIF('Test Cases'!L2:L53,"Not Executed"))/B38)</f>
        <v/>
      </c>
    </row>
    <row r="45">
      <c r="A45" s="4" t="inlineStr">
        <is>
          <t>% Pass (of executed)</t>
        </is>
      </c>
      <c r="B45" s="6">
        <f>IFERROR(B39/(B38-B43),0)</f>
        <v/>
      </c>
    </row>
    <row r="47" ht="26" customHeight="1">
      <c r="A47" s="1" t="inlineStr">
        <is>
          <t>7. Defect Severity Legend</t>
        </is>
      </c>
    </row>
    <row r="48" ht="18" customHeight="1">
      <c r="A48" s="2" t="inlineStr">
        <is>
          <t>Critical</t>
        </is>
      </c>
      <c r="B48" s="3" t="inlineStr">
        <is>
          <t>Blocks core workflow / data loss / security breach; no workaround. Fix before go-live.</t>
        </is>
      </c>
    </row>
    <row r="49" ht="18" customHeight="1">
      <c r="A49" s="2" t="inlineStr">
        <is>
          <t>High</t>
        </is>
      </c>
      <c r="B49" s="3" t="inlineStr">
        <is>
          <t>Major feature broken or incorrect; workaround difficult. Fix before go-live.</t>
        </is>
      </c>
    </row>
    <row r="50" ht="18" customHeight="1">
      <c r="A50" s="2" t="inlineStr">
        <is>
          <t>Medium</t>
        </is>
      </c>
      <c r="B50" s="3" t="inlineStr">
        <is>
          <t>Feature works with a usable workaround or minor data issue.</t>
        </is>
      </c>
    </row>
    <row r="51" ht="18" customHeight="1">
      <c r="A51" s="2" t="inlineStr">
        <is>
          <t>Low</t>
        </is>
      </c>
      <c r="B51" s="3" t="inlineStr">
        <is>
          <t>Cosmetic / minor UI / wording. Backlog.</t>
        </is>
      </c>
    </row>
    <row r="53" ht="26" customHeight="1">
      <c r="A53" s="1" t="inlineStr">
        <is>
          <t>8. Status Values</t>
        </is>
      </c>
    </row>
    <row r="54" ht="45" customHeight="1">
      <c r="A54" s="2" t="inlineStr">
        <is>
          <t>Pass / Fail / Blocked / N/A / Not Executed</t>
        </is>
      </c>
      <c r="B54" s="3" t="inlineStr">
        <is>
          <t>Pass = behaves as expected. Fail = does not match Expected Result (log Severity + Remarks/Defect ID). Blocked = cannot test due to a dependency/defect. N/A = not applicable in this environment. Not Executed = not yet run (default).</t>
        </is>
      </c>
    </row>
  </sheetData>
  <mergeCells count="9">
    <mergeCell ref="A47:B47"/>
    <mergeCell ref="A37:B37"/>
    <mergeCell ref="A14:B14"/>
    <mergeCell ref="A1:B1"/>
    <mergeCell ref="A23:B23"/>
    <mergeCell ref="A9:B9"/>
    <mergeCell ref="A17:B17"/>
    <mergeCell ref="A53:B53"/>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4" customWidth="1" min="3" max="3"/>
    <col width="9" customWidth="1" min="4" max="4"/>
    <col width="13" customWidth="1" min="5" max="5"/>
    <col width="26" customWidth="1" min="6" max="6"/>
    <col width="50" customWidth="1" min="7" max="7"/>
    <col width="24" customWidth="1" min="8" max="8"/>
    <col width="44" customWidth="1" min="9" max="9"/>
    <col width="30" customWidth="1" min="10" max="10"/>
    <col width="30" customWidth="1" min="11" max="11"/>
    <col width="14" customWidth="1" min="12" max="12"/>
    <col width="11" customWidth="1" min="13" max="13"/>
    <col width="14" customWidth="1" min="14" max="14"/>
    <col width="13" customWidth="1" min="15" max="15"/>
    <col width="30" customWidth="1" min="16" max="16"/>
  </cols>
  <sheetData>
    <row r="1" ht="30" customHeight="1">
      <c r="A1" s="7" t="inlineStr">
        <is>
          <t>Test Case ID</t>
        </is>
      </c>
      <c r="B1" s="7" t="inlineStr">
        <is>
          <t>Section / Feature</t>
        </is>
      </c>
      <c r="C1" s="7" t="inlineStr">
        <is>
          <t>Test Title</t>
        </is>
      </c>
      <c r="D1" s="7" t="inlineStr">
        <is>
          <t>Priority</t>
        </is>
      </c>
      <c r="E1" s="7" t="inlineStr">
        <is>
          <t>Type</t>
        </is>
      </c>
      <c r="F1" s="7" t="inlineStr">
        <is>
          <t>Preconditions</t>
        </is>
      </c>
      <c r="G1" s="7" t="inlineStr">
        <is>
          <t>Test Steps</t>
        </is>
      </c>
      <c r="H1" s="7" t="inlineStr">
        <is>
          <t>Test Data</t>
        </is>
      </c>
      <c r="I1" s="7" t="inlineStr">
        <is>
          <t>Expected Result</t>
        </is>
      </c>
      <c r="J1" s="7" t="inlineStr">
        <is>
          <t>API Reference</t>
        </is>
      </c>
      <c r="K1" s="7" t="inlineStr">
        <is>
          <t>Actual Result</t>
        </is>
      </c>
      <c r="L1" s="7" t="inlineStr">
        <is>
          <t>Status</t>
        </is>
      </c>
      <c r="M1" s="7" t="inlineStr">
        <is>
          <t>Severity</t>
        </is>
      </c>
      <c r="N1" s="7" t="inlineStr">
        <is>
          <t>Tested By</t>
        </is>
      </c>
      <c r="O1" s="7" t="inlineStr">
        <is>
          <t>Date Tested</t>
        </is>
      </c>
      <c r="P1" s="7" t="inlineStr">
        <is>
          <t>Remarks / Defect ID</t>
        </is>
      </c>
    </row>
    <row r="2" ht="90" customHeight="1">
      <c r="A2" s="8" t="inlineStr">
        <is>
          <t>USR-001</t>
        </is>
      </c>
      <c r="B2" s="9" t="inlineStr">
        <is>
          <t>Permission &amp; Access</t>
        </is>
      </c>
      <c r="C2" s="9" t="inlineStr">
        <is>
          <t>Admin can open the Users screen and see the Users sidebar item</t>
        </is>
      </c>
      <c r="D2" s="10" t="inlineStr">
        <is>
          <t>High</t>
        </is>
      </c>
      <c r="E2" s="9" t="inlineStr">
        <is>
          <t>Permission</t>
        </is>
      </c>
      <c r="F2" s="9" t="inlineStr">
        <is>
          <t>Logged in as admin_qa@saranam.in (role=admin).</t>
        </is>
      </c>
      <c r="G2" s="9" t="inlineStr">
        <is>
          <t>1. Log in as the admin.
2. Observe the left sidebar navigation.
3. Click the 'Users' item.
4. Confirm the URL is /users and the Users list screen renders.</t>
        </is>
      </c>
      <c r="H2" s="9" t="inlineStr">
        <is>
          <t>admin_qa@saranam.in / Admin@123</t>
        </is>
      </c>
      <c r="I2" s="9" t="inlineStr">
        <is>
          <t>The 'Users' item is visible in the sidebar. Clicking it routes to /users and renders the Users screen (title 'Users', subtitle 'Manage user accounts and permissions', filter card, users table). No 'Access Denied'.</t>
        </is>
      </c>
      <c r="J2" s="9" t="inlineStr">
        <is>
          <t>GET /api/users</t>
        </is>
      </c>
      <c r="K2" s="11" t="inlineStr"/>
      <c r="L2" s="12" t="inlineStr">
        <is>
          <t>Not Executed</t>
        </is>
      </c>
      <c r="M2" s="12" t="inlineStr"/>
      <c r="N2" s="12" t="inlineStr"/>
      <c r="O2" s="12" t="inlineStr"/>
      <c r="P2" s="11" t="inlineStr"/>
    </row>
    <row r="3" ht="105" customHeight="1">
      <c r="A3" s="8" t="inlineStr">
        <is>
          <t>USR-002</t>
        </is>
      </c>
      <c r="B3" s="9" t="inlineStr">
        <is>
          <t>Permission &amp; Access</t>
        </is>
      </c>
      <c r="C3" s="9" t="inlineStr">
        <is>
          <t>Data-entry user is blocked from /users and the sidebar item is hidden</t>
        </is>
      </c>
      <c r="D3" s="10" t="inlineStr">
        <is>
          <t>High</t>
        </is>
      </c>
      <c r="E3" s="9" t="inlineStr">
        <is>
          <t>Permission</t>
        </is>
      </c>
      <c r="F3" s="9" t="inlineStr">
        <is>
          <t>Logged in as rajesh.kumar@saranam.in (role=data_entry, approved+active).</t>
        </is>
      </c>
      <c r="G3" s="9" t="inlineStr">
        <is>
          <t>1. Log in as the data_entry user.
2. Confirm the sidebar does NOT show a 'Users' item.
3. Manually navigate to /users via the address bar.
4. Observe the page.</t>
        </is>
      </c>
      <c r="H3" s="9" t="inlineStr">
        <is>
          <t>rajesh.kumar@saranam.in / Data@1234</t>
        </is>
      </c>
      <c r="I3" s="9" t="inlineStr">
        <is>
          <t>No 'Users' item in sidebar (filtered out because data_entry lacks manage_users). Navigating to /users shows the 'Access Denied — You don't have permission to access this page.' panel (ProtectedRoute requiredRole='admin'); the users table is NOT rendered.</t>
        </is>
      </c>
      <c r="J3" s="9" t="inlineStr">
        <is>
          <t>N/A</t>
        </is>
      </c>
      <c r="K3" s="11" t="inlineStr"/>
      <c r="L3" s="12" t="inlineStr">
        <is>
          <t>Not Executed</t>
        </is>
      </c>
      <c r="M3" s="12" t="inlineStr"/>
      <c r="N3" s="12" t="inlineStr"/>
      <c r="O3" s="12" t="inlineStr"/>
      <c r="P3" s="11" t="inlineStr"/>
    </row>
    <row r="4" ht="60" customHeight="1">
      <c r="A4" s="8" t="inlineStr">
        <is>
          <t>USR-003</t>
        </is>
      </c>
      <c r="B4" s="9" t="inlineStr">
        <is>
          <t>Permission &amp; Access</t>
        </is>
      </c>
      <c r="C4" s="9" t="inlineStr">
        <is>
          <t>Viewer user is blocked from /users and the sidebar item is hidden</t>
        </is>
      </c>
      <c r="D4" s="10" t="inlineStr">
        <is>
          <t>High</t>
        </is>
      </c>
      <c r="E4" s="9" t="inlineStr">
        <is>
          <t>Permission</t>
        </is>
      </c>
      <c r="F4" s="9" t="inlineStr">
        <is>
          <t>Logged in as anjali.nair@saranam.in (role=viewer).</t>
        </is>
      </c>
      <c r="G4" s="9" t="inlineStr">
        <is>
          <t>1. Log in as the viewer user.
2. Confirm no 'Users' item in the sidebar.
3. Navigate directly to /users.
4. Observe the result.</t>
        </is>
      </c>
      <c r="H4" s="9" t="inlineStr">
        <is>
          <t>anjali.nair@saranam.in / View@1234</t>
        </is>
      </c>
      <c r="I4" s="9" t="inlineStr">
        <is>
          <t>Sidebar has no 'Users' item; /users shows 'Access Denied'. Viewer cannot reach the users table.</t>
        </is>
      </c>
      <c r="J4" s="9" t="inlineStr">
        <is>
          <t>N/A</t>
        </is>
      </c>
      <c r="K4" s="11" t="inlineStr"/>
      <c r="L4" s="12" t="inlineStr">
        <is>
          <t>Not Executed</t>
        </is>
      </c>
      <c r="M4" s="12" t="inlineStr"/>
      <c r="N4" s="12" t="inlineStr"/>
      <c r="O4" s="12" t="inlineStr"/>
      <c r="P4" s="11" t="inlineStr"/>
    </row>
    <row r="5" ht="45" customHeight="1">
      <c r="A5" s="8" t="inlineStr">
        <is>
          <t>USR-004</t>
        </is>
      </c>
      <c r="B5" s="9" t="inlineStr">
        <is>
          <t>Permission &amp; Access</t>
        </is>
      </c>
      <c r="C5" s="9" t="inlineStr">
        <is>
          <t>Unauthenticated visit to /users redirects to login</t>
        </is>
      </c>
      <c r="D5" s="10" t="inlineStr">
        <is>
          <t>High</t>
        </is>
      </c>
      <c r="E5" s="9" t="inlineStr">
        <is>
          <t>Permission</t>
        </is>
      </c>
      <c r="F5" s="9" t="inlineStr">
        <is>
          <t>Not logged in (clear localStorage / open a fresh private window).</t>
        </is>
      </c>
      <c r="G5" s="9" t="inlineStr">
        <is>
          <t>1. Without logging in, enter https://saranam.fieldintel.ai/users in the address bar.
2. Observe redirect behaviour.</t>
        </is>
      </c>
      <c r="H5" s="9" t="inlineStr">
        <is>
          <t>N/A</t>
        </is>
      </c>
      <c r="I5" s="9" t="inlineStr">
        <is>
          <t>ProtectedRoute sees no user and redirects to /login (replace). No users data is fetched or shown.</t>
        </is>
      </c>
      <c r="J5" s="9" t="inlineStr">
        <is>
          <t>N/A</t>
        </is>
      </c>
      <c r="K5" s="11" t="inlineStr"/>
      <c r="L5" s="12" t="inlineStr">
        <is>
          <t>Not Executed</t>
        </is>
      </c>
      <c r="M5" s="12" t="inlineStr"/>
      <c r="N5" s="12" t="inlineStr"/>
      <c r="O5" s="12" t="inlineStr"/>
      <c r="P5" s="11" t="inlineStr"/>
    </row>
    <row r="6" ht="75" customHeight="1">
      <c r="A6" s="8" t="inlineStr">
        <is>
          <t>USR-005</t>
        </is>
      </c>
      <c r="B6" s="9" t="inlineStr">
        <is>
          <t>Permission &amp; Access</t>
        </is>
      </c>
      <c r="C6" s="9" t="inlineStr">
        <is>
          <t>API rejects a non-admin token with 403 for every Users endpoint</t>
        </is>
      </c>
      <c r="D6" s="10" t="inlineStr">
        <is>
          <t>High</t>
        </is>
      </c>
      <c r="E6" s="9" t="inlineStr">
        <is>
          <t>API</t>
        </is>
      </c>
      <c r="F6" s="9" t="inlineStr">
        <is>
          <t>Have a valid access_token for the data_entry user (capture from login response).</t>
        </is>
      </c>
      <c r="G6" s="9" t="inlineStr">
        <is>
          <t>1. Using the data_entry token, call GET /api/users.
2. Call GET /api/users/pending/count.
3. Call PUT /api/users/{anyId}/toggle-status.
4. Inspect status codes and bodies.</t>
        </is>
      </c>
      <c r="H6" s="9" t="inlineStr">
        <is>
          <t>Authorization: Bearer &lt;data_entry token&gt;</t>
        </is>
      </c>
      <c r="I6" s="9" t="inlineStr">
        <is>
          <t>Each call returns HTTP 403 with body message 'Access denied. Required permission: manage_users' and error 'insufficient_permissions'. No data is returned or mutated.</t>
        </is>
      </c>
      <c r="J6" s="9" t="inlineStr">
        <is>
          <t>GET /api/users, GET /api/users/pending/count, PUT /api/users/{id}/toggle-status</t>
        </is>
      </c>
      <c r="K6" s="11" t="inlineStr"/>
      <c r="L6" s="12" t="inlineStr">
        <is>
          <t>Not Executed</t>
        </is>
      </c>
      <c r="M6" s="12" t="inlineStr"/>
      <c r="N6" s="12" t="inlineStr"/>
      <c r="O6" s="12" t="inlineStr"/>
      <c r="P6" s="11" t="inlineStr"/>
    </row>
    <row r="7" ht="75" customHeight="1">
      <c r="A7" s="8" t="inlineStr">
        <is>
          <t>USR-006</t>
        </is>
      </c>
      <c r="B7" s="9" t="inlineStr">
        <is>
          <t>Permission &amp; Access</t>
        </is>
      </c>
      <c r="C7" s="9" t="inlineStr">
        <is>
          <t>API rejects a missing/expired token with 401</t>
        </is>
      </c>
      <c r="D7" s="10" t="inlineStr">
        <is>
          <t>High</t>
        </is>
      </c>
      <c r="E7" s="9" t="inlineStr">
        <is>
          <t>API</t>
        </is>
      </c>
      <c r="F7" s="9" t="inlineStr">
        <is>
          <t>None.</t>
        </is>
      </c>
      <c r="G7" s="9" t="inlineStr">
        <is>
          <t>1. Call GET /api/users with NO Authorization header.
2. Call GET /api/users with an obviously invalid/expired Bearer token.
3. Inspect status codes.</t>
        </is>
      </c>
      <c r="H7" s="9" t="inlineStr">
        <is>
          <t>Authorization: (none) and Authorization: Bearer invalid.token.value</t>
        </is>
      </c>
      <c r="I7" s="9" t="inlineStr">
        <is>
          <t>Both calls return HTTP 401 (JWT verification fails). In the browser, the axios response interceptor attempts a refresh; if refresh_token is absent/invalid it clears storage and redirects to /login.</t>
        </is>
      </c>
      <c r="J7" s="9" t="inlineStr">
        <is>
          <t>GET /api/users</t>
        </is>
      </c>
      <c r="K7" s="11" t="inlineStr"/>
      <c r="L7" s="12" t="inlineStr">
        <is>
          <t>Not Executed</t>
        </is>
      </c>
      <c r="M7" s="12" t="inlineStr"/>
      <c r="N7" s="12" t="inlineStr"/>
      <c r="O7" s="12" t="inlineStr"/>
      <c r="P7" s="11" t="inlineStr"/>
    </row>
    <row r="8" ht="90" customHeight="1">
      <c r="A8" s="8" t="inlineStr">
        <is>
          <t>USR-007</t>
        </is>
      </c>
      <c r="B8" s="9" t="inlineStr">
        <is>
          <t>Permission &amp; Access</t>
        </is>
      </c>
      <c r="C8" s="9" t="inlineStr">
        <is>
          <t>Enumerate role capabilities on the Users module (matrix)</t>
        </is>
      </c>
      <c r="D8" s="13" t="inlineStr">
        <is>
          <t>Medium</t>
        </is>
      </c>
      <c r="E8" s="9" t="inlineStr">
        <is>
          <t>Permission</t>
        </is>
      </c>
      <c r="F8" s="9" t="inlineStr">
        <is>
          <t>Accounts for admin, data_entry, viewer available.</t>
        </is>
      </c>
      <c r="G8" s="9" t="inlineStr">
        <is>
          <t>1. Log in as admin; confirm full Users access (list/approve/reject/edit/toggle).
2. Log in as data_entry; confirm zero Users access (no sidebar item, /users denied, API 403).
3. Log in as viewer; confirm zero Users access (no sidebar item, /users denied, API 403).</t>
        </is>
      </c>
      <c r="H8" s="9" t="inlineStr">
        <is>
          <t>Three role accounts from setup</t>
        </is>
      </c>
      <c r="I8" s="9" t="inlineStr">
        <is>
          <t>Only admin can list and manage users. data_entry and viewer have no access on UI or API. Matches permission map where only admin holds manage_users.</t>
        </is>
      </c>
      <c r="J8" s="9" t="inlineStr">
        <is>
          <t>GET /api/users</t>
        </is>
      </c>
      <c r="K8" s="11" t="inlineStr"/>
      <c r="L8" s="12" t="inlineStr">
        <is>
          <t>Not Executed</t>
        </is>
      </c>
      <c r="M8" s="12" t="inlineStr"/>
      <c r="N8" s="12" t="inlineStr"/>
      <c r="O8" s="12" t="inlineStr"/>
      <c r="P8" s="11" t="inlineStr"/>
    </row>
    <row r="9" ht="75" customHeight="1">
      <c r="A9" s="14" t="inlineStr">
        <is>
          <t>USR-008</t>
        </is>
      </c>
      <c r="B9" s="15" t="inlineStr">
        <is>
          <t>Users List</t>
        </is>
      </c>
      <c r="C9" s="15" t="inlineStr">
        <is>
          <t>Loading skeleton appears while users are being fetched</t>
        </is>
      </c>
      <c r="D9" s="16" t="inlineStr">
        <is>
          <t>Medium</t>
        </is>
      </c>
      <c r="E9" s="15" t="inlineStr">
        <is>
          <t>UI/UX</t>
        </is>
      </c>
      <c r="F9" s="15" t="inlineStr">
        <is>
          <t>Admin logged in; throttle network (DevTools 'Slow 3G') to observe.</t>
        </is>
      </c>
      <c r="G9" s="15" t="inlineStr">
        <is>
          <t>1. Throttle the network in DevTools.
2. Navigate to /users (or reload).
3. Observe the area where the table renders before data arrives.</t>
        </is>
      </c>
      <c r="H9" s="15" t="inlineStr">
        <is>
          <t>N/A</t>
        </is>
      </c>
      <c r="I9" s="15" t="inlineStr">
        <is>
          <t>While loading, a card with five grey animate-pulse skeleton bars is shown (no table, no empty state). After GET /api/users resolves, the skeleton is replaced by the table.</t>
        </is>
      </c>
      <c r="J9" s="15" t="inlineStr">
        <is>
          <t>GET /api/users</t>
        </is>
      </c>
      <c r="K9" s="11" t="inlineStr"/>
      <c r="L9" s="12" t="inlineStr">
        <is>
          <t>Not Executed</t>
        </is>
      </c>
      <c r="M9" s="12" t="inlineStr"/>
      <c r="N9" s="12" t="inlineStr"/>
      <c r="O9" s="12" t="inlineStr"/>
      <c r="P9" s="11" t="inlineStr"/>
    </row>
    <row r="10" ht="120" customHeight="1">
      <c r="A10" s="14" t="inlineStr">
        <is>
          <t>USR-009</t>
        </is>
      </c>
      <c r="B10" s="15" t="inlineStr">
        <is>
          <t>Users List</t>
        </is>
      </c>
      <c r="C10" s="15" t="inlineStr">
        <is>
          <t>Users list loads and rows display name, email, role, status, joined date</t>
        </is>
      </c>
      <c r="D10" s="17" t="inlineStr">
        <is>
          <t>High</t>
        </is>
      </c>
      <c r="E10" s="15" t="inlineStr">
        <is>
          <t>Functional</t>
        </is>
      </c>
      <c r="F10" s="15" t="inlineStr">
        <is>
          <t>Admin logged in; &gt;=12 users seeded.</t>
        </is>
      </c>
      <c r="G10" s="15" t="inlineStr">
        <is>
          <t>1. Open /users.
2. Inspect the table columns: User, Role, Status, Joined, Actions.
3. Verify each row shows full_name (bold) over email (muted), a role badge, a status badge, and the created_at date.
4. Cross-check a row against the GET /api/users response payload.</t>
        </is>
      </c>
      <c r="H10" s="15" t="inlineStr">
        <is>
          <t>N/A</t>
        </is>
      </c>
      <c r="I10" s="15" t="inlineStr">
        <is>
          <t>Table renders all users. Each row: name+email in User cell; role badge with capitalised label and underscore replaced by space (e.g. 'data_entry' -&gt; 'Data entry'); status badge; Joined = new Date(created_at).toLocaleDateString(); Actions per status. Data matches API.</t>
        </is>
      </c>
      <c r="J10" s="15" t="inlineStr">
        <is>
          <t>GET /api/users</t>
        </is>
      </c>
      <c r="K10" s="11" t="inlineStr"/>
      <c r="L10" s="12" t="inlineStr">
        <is>
          <t>Not Executed</t>
        </is>
      </c>
      <c r="M10" s="12" t="inlineStr"/>
      <c r="N10" s="12" t="inlineStr"/>
      <c r="O10" s="12" t="inlineStr"/>
      <c r="P10" s="11" t="inlineStr"/>
    </row>
    <row r="11" ht="60" customHeight="1">
      <c r="A11" s="14" t="inlineStr">
        <is>
          <t>USR-010</t>
        </is>
      </c>
      <c r="B11" s="15" t="inlineStr">
        <is>
          <t>Users List</t>
        </is>
      </c>
      <c r="C11" s="15" t="inlineStr">
        <is>
          <t>Role badge colour mapping (admin=danger, data_entry=primary, viewer=gray)</t>
        </is>
      </c>
      <c r="D11" s="18" t="inlineStr">
        <is>
          <t>Low</t>
        </is>
      </c>
      <c r="E11" s="15" t="inlineStr">
        <is>
          <t>UI/UX</t>
        </is>
      </c>
      <c r="F11" s="15" t="inlineStr">
        <is>
          <t>Admin logged in; at least one user of each role present.</t>
        </is>
      </c>
      <c r="G11" s="15" t="inlineStr">
        <is>
          <t>1. Open /users.
2. Locate an admin row, a data_entry row, and a viewer row.
3. Compare the colour of each role badge.</t>
        </is>
      </c>
      <c r="H11" s="15" t="inlineStr">
        <is>
          <t>N/A</t>
        </is>
      </c>
      <c r="I11" s="15" t="inlineStr">
        <is>
          <t>admin -&gt; badge-danger (red), data_entry -&gt; badge-primary, viewer -&gt; badge-gray. Any unknown role would also render gray (default).</t>
        </is>
      </c>
      <c r="J11" s="15" t="inlineStr">
        <is>
          <t>N/A</t>
        </is>
      </c>
      <c r="K11" s="11" t="inlineStr"/>
      <c r="L11" s="12" t="inlineStr">
        <is>
          <t>Not Executed</t>
        </is>
      </c>
      <c r="M11" s="12" t="inlineStr"/>
      <c r="N11" s="12" t="inlineStr"/>
      <c r="O11" s="12" t="inlineStr"/>
      <c r="P11" s="11" t="inlineStr"/>
    </row>
    <row r="12" ht="105" customHeight="1">
      <c r="A12" s="14" t="inlineStr">
        <is>
          <t>USR-011</t>
        </is>
      </c>
      <c r="B12" s="15" t="inlineStr">
        <is>
          <t>Users List</t>
        </is>
      </c>
      <c r="C12" s="15" t="inlineStr">
        <is>
          <t>Status badge mapping reflects approval and active flags</t>
        </is>
      </c>
      <c r="D12" s="17" t="inlineStr">
        <is>
          <t>High</t>
        </is>
      </c>
      <c r="E12" s="15" t="inlineStr">
        <is>
          <t>Functional</t>
        </is>
      </c>
      <c r="F12" s="15" t="inlineStr">
        <is>
          <t>Admin logged in; one pending, one active, one deactivated user present.</t>
        </is>
      </c>
      <c r="G12" s="15" t="inlineStr">
        <is>
          <t>1. Open /users.
2. Find the pending user (is_approved=false).
3. Find the active user (is_approved=true, is_active=true).
4. Find the deactivated user (is_approved=true, is_active=false).
5. Verify the status badge for each.</t>
        </is>
      </c>
      <c r="H12" s="15" t="inlineStr">
        <is>
          <t>priya.menon (pending), rajesh.kumar (active), meena.raman (deactivated)</t>
        </is>
      </c>
      <c r="I12" s="15" t="inlineStr">
        <is>
          <t>Pending -&gt; amber 'Pending Approval'; Active -&gt; green 'Active'; Deactivated -&gt; grey 'Inactive'. Note: precedence is approval first — any user with is_approved=false shows 'Pending Approval' even if inactive (see USR-031 data-integrity edge).</t>
        </is>
      </c>
      <c r="J12" s="15" t="inlineStr">
        <is>
          <t>N/A</t>
        </is>
      </c>
      <c r="K12" s="11" t="inlineStr"/>
      <c r="L12" s="12" t="inlineStr">
        <is>
          <t>Not Executed</t>
        </is>
      </c>
      <c r="M12" s="12" t="inlineStr"/>
      <c r="N12" s="12" t="inlineStr"/>
      <c r="O12" s="12" t="inlineStr"/>
      <c r="P12" s="11" t="inlineStr"/>
    </row>
    <row r="13" ht="75" customHeight="1">
      <c r="A13" s="14" t="inlineStr">
        <is>
          <t>USR-012</t>
        </is>
      </c>
      <c r="B13" s="15" t="inlineStr">
        <is>
          <t>Users List</t>
        </is>
      </c>
      <c r="C13" s="15" t="inlineStr">
        <is>
          <t>Header shows the pending-approval count badge</t>
        </is>
      </c>
      <c r="D13" s="16" t="inlineStr">
        <is>
          <t>Medium</t>
        </is>
      </c>
      <c r="E13" s="15" t="inlineStr">
        <is>
          <t>Functional</t>
        </is>
      </c>
      <c r="F13" s="15" t="inlineStr">
        <is>
          <t>Admin logged in; exactly N users with is_approved=false (e.g. 2).</t>
        </is>
      </c>
      <c r="G13" s="15" t="inlineStr">
        <is>
          <t>1. Open /users.
2. Observe the amber badge next to the 'Users' title.
3. Count the rows whose status is 'Pending Approval' and compare.</t>
        </is>
      </c>
      <c r="H13" s="15" t="inlineStr">
        <is>
          <t>Seed 2 unapproved users</t>
        </is>
      </c>
      <c r="I13" s="15" t="inlineStr">
        <is>
          <t>Header shows 'N pending approval' where N = count of users with is_approved=false. Badge is hidden when N=0. (Counted client-side from the loaded list, not from /pending/count.)</t>
        </is>
      </c>
      <c r="J13" s="15" t="inlineStr">
        <is>
          <t>N/A</t>
        </is>
      </c>
      <c r="K13" s="11" t="inlineStr"/>
      <c r="L13" s="12" t="inlineStr">
        <is>
          <t>Not Executed</t>
        </is>
      </c>
      <c r="M13" s="12" t="inlineStr"/>
      <c r="N13" s="12" t="inlineStr"/>
      <c r="O13" s="12" t="inlineStr"/>
      <c r="P13" s="11" t="inlineStr"/>
    </row>
    <row r="14" ht="60" customHeight="1">
      <c r="A14" s="14" t="inlineStr">
        <is>
          <t>USR-013</t>
        </is>
      </c>
      <c r="B14" s="15" t="inlineStr">
        <is>
          <t>Users List</t>
        </is>
      </c>
      <c r="C14" s="15" t="inlineStr">
        <is>
          <t>Search filters rows by name (case-insensitive, client-side)</t>
        </is>
      </c>
      <c r="D14" s="17" t="inlineStr">
        <is>
          <t>High</t>
        </is>
      </c>
      <c r="E14" s="15" t="inlineStr">
        <is>
          <t>Functional</t>
        </is>
      </c>
      <c r="F14" s="15" t="inlineStr">
        <is>
          <t>Admin logged in; user 'Rajesh Kumar' exists.</t>
        </is>
      </c>
      <c r="G14" s="15" t="inlineStr">
        <is>
          <t>1. Open /users.
2. Type 'rajesh' into the Search box.
3. Observe the table updates as you type.
4. Clear the search box.</t>
        </is>
      </c>
      <c r="H14" s="15" t="inlineStr">
        <is>
          <t>Search term: rajesh</t>
        </is>
      </c>
      <c r="I14" s="15" t="inlineStr">
        <is>
          <t>Only rows whose full_name or email contains 'rajesh' (case-insensitive) remain. No network call is made (filtering is in-memory). Clearing restores the full list.</t>
        </is>
      </c>
      <c r="J14" s="15" t="inlineStr">
        <is>
          <t>N/A</t>
        </is>
      </c>
      <c r="K14" s="11" t="inlineStr"/>
      <c r="L14" s="12" t="inlineStr">
        <is>
          <t>Not Executed</t>
        </is>
      </c>
      <c r="M14" s="12" t="inlineStr"/>
      <c r="N14" s="12" t="inlineStr"/>
      <c r="O14" s="12" t="inlineStr"/>
      <c r="P14" s="11" t="inlineStr"/>
    </row>
    <row r="15" ht="60" customHeight="1">
      <c r="A15" s="14" t="inlineStr">
        <is>
          <t>USR-014</t>
        </is>
      </c>
      <c r="B15" s="15" t="inlineStr">
        <is>
          <t>Users List</t>
        </is>
      </c>
      <c r="C15" s="15" t="inlineStr">
        <is>
          <t>Search filters by email substring</t>
        </is>
      </c>
      <c r="D15" s="16" t="inlineStr">
        <is>
          <t>Medium</t>
        </is>
      </c>
      <c r="E15" s="15" t="inlineStr">
        <is>
          <t>Functional</t>
        </is>
      </c>
      <c r="F15" s="15" t="inlineStr">
        <is>
          <t>Admin logged in.</t>
        </is>
      </c>
      <c r="G15" s="15" t="inlineStr">
        <is>
          <t>1. Open /users.
2. Type '@saranam.in' into Search.
3. Then type a more specific local-part such as 'anjali'.</t>
        </is>
      </c>
      <c r="H15" s="15" t="inlineStr">
        <is>
          <t>Search terms: @saranam.in, anjali</t>
        </is>
      </c>
      <c r="I15" s="15" t="inlineStr">
        <is>
          <t>Matching is on email substring too; '@saranam.in' keeps all saranam emails, 'anjali' narrows to anjali.nair@saranam.in.</t>
        </is>
      </c>
      <c r="J15" s="15" t="inlineStr">
        <is>
          <t>N/A</t>
        </is>
      </c>
      <c r="K15" s="11" t="inlineStr"/>
      <c r="L15" s="12" t="inlineStr">
        <is>
          <t>Not Executed</t>
        </is>
      </c>
      <c r="M15" s="12" t="inlineStr"/>
      <c r="N15" s="12" t="inlineStr"/>
      <c r="O15" s="12" t="inlineStr"/>
      <c r="P15" s="11" t="inlineStr"/>
    </row>
    <row r="16" ht="60" customHeight="1">
      <c r="A16" s="14" t="inlineStr">
        <is>
          <t>USR-015</t>
        </is>
      </c>
      <c r="B16" s="15" t="inlineStr">
        <is>
          <t>Users List</t>
        </is>
      </c>
      <c r="C16" s="15" t="inlineStr">
        <is>
          <t>Search with no matches shows the empty state</t>
        </is>
      </c>
      <c r="D16" s="16" t="inlineStr">
        <is>
          <t>Medium</t>
        </is>
      </c>
      <c r="E16" s="15" t="inlineStr">
        <is>
          <t>Edge Case</t>
        </is>
      </c>
      <c r="F16" s="15" t="inlineStr">
        <is>
          <t>Admin logged in.</t>
        </is>
      </c>
      <c r="G16" s="15" t="inlineStr">
        <is>
          <t>1. Open /users.
2. Type a string that matches no user, e.g. 'zzzzzz-nouser'.
3. Observe the empty state.</t>
        </is>
      </c>
      <c r="H16" s="15" t="inlineStr">
        <is>
          <t>Search term: zzzzzz-nouser</t>
        </is>
      </c>
      <c r="I16" s="15" t="inlineStr">
        <is>
          <t>Empty-state card: Users icon, 'No users found', and helper text 'Try adjusting your search terms' (because searchTerm is non-empty). The table is hidden.</t>
        </is>
      </c>
      <c r="J16" s="15" t="inlineStr">
        <is>
          <t>N/A</t>
        </is>
      </c>
      <c r="K16" s="11" t="inlineStr"/>
      <c r="L16" s="12" t="inlineStr">
        <is>
          <t>Not Executed</t>
        </is>
      </c>
      <c r="M16" s="12" t="inlineStr"/>
      <c r="N16" s="12" t="inlineStr"/>
      <c r="O16" s="12" t="inlineStr"/>
      <c r="P16" s="11" t="inlineStr"/>
    </row>
    <row r="17" ht="60" customHeight="1">
      <c r="A17" s="14" t="inlineStr">
        <is>
          <t>USR-016</t>
        </is>
      </c>
      <c r="B17" s="15" t="inlineStr">
        <is>
          <t>Users List</t>
        </is>
      </c>
      <c r="C17" s="15" t="inlineStr">
        <is>
          <t>Status filter — Pending Approval</t>
        </is>
      </c>
      <c r="D17" s="17" t="inlineStr">
        <is>
          <t>High</t>
        </is>
      </c>
      <c r="E17" s="15" t="inlineStr">
        <is>
          <t>Functional</t>
        </is>
      </c>
      <c r="F17" s="15" t="inlineStr">
        <is>
          <t>Admin logged in; pending and approved users present.</t>
        </is>
      </c>
      <c r="G17" s="15" t="inlineStr">
        <is>
          <t>1. Open /users.
2. Select 'Pending Approval' in the status dropdown.
3. Observe the rows shown.</t>
        </is>
      </c>
      <c r="H17" s="15" t="inlineStr">
        <is>
          <t>Filter = pending</t>
        </is>
      </c>
      <c r="I17" s="15" t="inlineStr">
        <is>
          <t>Only users with is_approved=false are listed (each shows 'Pending Approval' and Approve/Reject actions). Approved users are hidden.</t>
        </is>
      </c>
      <c r="J17" s="15" t="inlineStr">
        <is>
          <t>N/A</t>
        </is>
      </c>
      <c r="K17" s="11" t="inlineStr"/>
      <c r="L17" s="12" t="inlineStr">
        <is>
          <t>Not Executed</t>
        </is>
      </c>
      <c r="M17" s="12" t="inlineStr"/>
      <c r="N17" s="12" t="inlineStr"/>
      <c r="O17" s="12" t="inlineStr"/>
      <c r="P17" s="11" t="inlineStr"/>
    </row>
    <row r="18" ht="60" customHeight="1">
      <c r="A18" s="14" t="inlineStr">
        <is>
          <t>USR-017</t>
        </is>
      </c>
      <c r="B18" s="15" t="inlineStr">
        <is>
          <t>Users List</t>
        </is>
      </c>
      <c r="C18" s="15" t="inlineStr">
        <is>
          <t>Status filter — Active</t>
        </is>
      </c>
      <c r="D18" s="17" t="inlineStr">
        <is>
          <t>High</t>
        </is>
      </c>
      <c r="E18" s="15" t="inlineStr">
        <is>
          <t>Functional</t>
        </is>
      </c>
      <c r="F18" s="15" t="inlineStr">
        <is>
          <t>Admin logged in.</t>
        </is>
      </c>
      <c r="G18" s="15" t="inlineStr">
        <is>
          <t>1. Open /users.
2. Select 'Active'.
3. Observe the rows.</t>
        </is>
      </c>
      <c r="H18" s="15" t="inlineStr">
        <is>
          <t>Filter = active</t>
        </is>
      </c>
      <c r="I18" s="15" t="inlineStr">
        <is>
          <t>Only users with is_active=true AND is_approved=true appear (status 'Active', Deactivate/Edit actions). Pending and inactive users are excluded.</t>
        </is>
      </c>
      <c r="J18" s="15" t="inlineStr">
        <is>
          <t>N/A</t>
        </is>
      </c>
      <c r="K18" s="11" t="inlineStr"/>
      <c r="L18" s="12" t="inlineStr">
        <is>
          <t>Not Executed</t>
        </is>
      </c>
      <c r="M18" s="12" t="inlineStr"/>
      <c r="N18" s="12" t="inlineStr"/>
      <c r="O18" s="12" t="inlineStr"/>
      <c r="P18" s="11" t="inlineStr"/>
    </row>
    <row r="19" ht="120" customHeight="1">
      <c r="A19" s="14" t="inlineStr">
        <is>
          <t>USR-018</t>
        </is>
      </c>
      <c r="B19" s="15" t="inlineStr">
        <is>
          <t>Users List</t>
        </is>
      </c>
      <c r="C19" s="15" t="inlineStr">
        <is>
          <t>Status filter — Inactive (and rejected-user overlap)</t>
        </is>
      </c>
      <c r="D19" s="16" t="inlineStr">
        <is>
          <t>Medium</t>
        </is>
      </c>
      <c r="E19" s="15" t="inlineStr">
        <is>
          <t>Functional</t>
        </is>
      </c>
      <c r="F19" s="15" t="inlineStr">
        <is>
          <t>Admin logged in; one deactivated user and one rejected user present.</t>
        </is>
      </c>
      <c r="G19" s="15" t="inlineStr">
        <is>
          <t>1. Open /users.
2. Select 'Inactive'.
3. Observe which users appear.</t>
        </is>
      </c>
      <c r="H19" s="15" t="inlineStr">
        <is>
          <t>Filter = inactive</t>
        </is>
      </c>
      <c r="I19" s="15" t="inlineStr">
        <is>
          <t>All users with is_active=false appear (the deactivated approved user AND the rejected user, since reject sets is_active=false). Note overlap: a rejected user (is_approved=false, is_active=false) appears under BOTH the 'Inactive' filter here and the 'Pending Approval' filter (USR-016) — flag as a usability/data-integrity observation.</t>
        </is>
      </c>
      <c r="J19" s="15" t="inlineStr">
        <is>
          <t>N/A</t>
        </is>
      </c>
      <c r="K19" s="11" t="inlineStr"/>
      <c r="L19" s="12" t="inlineStr">
        <is>
          <t>Not Executed</t>
        </is>
      </c>
      <c r="M19" s="12" t="inlineStr"/>
      <c r="N19" s="12" t="inlineStr"/>
      <c r="O19" s="12" t="inlineStr"/>
      <c r="P19" s="11" t="inlineStr"/>
    </row>
    <row r="20" ht="60" customHeight="1">
      <c r="A20" s="14" t="inlineStr">
        <is>
          <t>USR-019</t>
        </is>
      </c>
      <c r="B20" s="15" t="inlineStr">
        <is>
          <t>Users List</t>
        </is>
      </c>
      <c r="C20" s="15" t="inlineStr">
        <is>
          <t>Filter + search combine (AND logic)</t>
        </is>
      </c>
      <c r="D20" s="16" t="inlineStr">
        <is>
          <t>Medium</t>
        </is>
      </c>
      <c r="E20" s="15" t="inlineStr">
        <is>
          <t>Functional</t>
        </is>
      </c>
      <c r="F20" s="15" t="inlineStr">
        <is>
          <t>Admin logged in.</t>
        </is>
      </c>
      <c r="G20" s="15" t="inlineStr">
        <is>
          <t>1. Open /users.
2. Set filter to 'Active'.
3. Type 'kumar' in Search.
4. Observe results.</t>
        </is>
      </c>
      <c r="H20" s="15" t="inlineStr">
        <is>
          <t>Filter = active, Search = kumar</t>
        </is>
      </c>
      <c r="I20" s="15" t="inlineStr">
        <is>
          <t>Only active+approved users whose name/email contains 'kumar' are shown (both conditions must hold). If none match, empty state appears.</t>
        </is>
      </c>
      <c r="J20" s="15" t="inlineStr">
        <is>
          <t>N/A</t>
        </is>
      </c>
      <c r="K20" s="11" t="inlineStr"/>
      <c r="L20" s="12" t="inlineStr">
        <is>
          <t>Not Executed</t>
        </is>
      </c>
      <c r="M20" s="12" t="inlineStr"/>
      <c r="N20" s="12" t="inlineStr"/>
      <c r="O20" s="12" t="inlineStr"/>
      <c r="P20" s="11" t="inlineStr"/>
    </row>
    <row r="21" ht="90" customHeight="1">
      <c r="A21" s="14" t="inlineStr">
        <is>
          <t>USR-020</t>
        </is>
      </c>
      <c r="B21" s="15" t="inlineStr">
        <is>
          <t>Users List</t>
        </is>
      </c>
      <c r="C21" s="15" t="inlineStr">
        <is>
          <t>List load failure shows the error alert</t>
        </is>
      </c>
      <c r="D21" s="16" t="inlineStr">
        <is>
          <t>Medium</t>
        </is>
      </c>
      <c r="E21" s="15" t="inlineStr">
        <is>
          <t>Negative</t>
        </is>
      </c>
      <c r="F21" s="15" t="inlineStr">
        <is>
          <t>Admin logged in; simulate GET /api/users 500 (or block the request in DevTools).</t>
        </is>
      </c>
      <c r="G21" s="15" t="inlineStr">
        <is>
          <t>1. Open DevTools and force GET /api/users to fail/return 500.
2. Navigate to /users (or reload).
3. Observe the screen.</t>
        </is>
      </c>
      <c r="H21" s="15" t="inlineStr">
        <is>
          <t>N/A</t>
        </is>
      </c>
      <c r="I21" s="15" t="inlineStr">
        <is>
          <t>A red alert with AlertCircle icon shows the server message (err.response.data.message) or fallback 'Failed to load users'. The loading skeleton ends; with no users, the empty-state card ('No users match the selected filter') is also shown.</t>
        </is>
      </c>
      <c r="J21" s="15" t="inlineStr">
        <is>
          <t>GET /api/users</t>
        </is>
      </c>
      <c r="K21" s="11" t="inlineStr"/>
      <c r="L21" s="12" t="inlineStr">
        <is>
          <t>Not Executed</t>
        </is>
      </c>
      <c r="M21" s="12" t="inlineStr"/>
      <c r="N21" s="12" t="inlineStr"/>
      <c r="O21" s="12" t="inlineStr"/>
      <c r="P21" s="11" t="inlineStr"/>
    </row>
    <row r="22" ht="90" customHeight="1">
      <c r="A22" s="8" t="inlineStr">
        <is>
          <t>USR-021</t>
        </is>
      </c>
      <c r="B22" s="9" t="inlineStr">
        <is>
          <t>Approve / Reject</t>
        </is>
      </c>
      <c r="C22" s="9" t="inlineStr">
        <is>
          <t>Approve a pending user</t>
        </is>
      </c>
      <c r="D22" s="10" t="inlineStr">
        <is>
          <t>High</t>
        </is>
      </c>
      <c r="E22" s="9" t="inlineStr">
        <is>
          <t>Functional</t>
        </is>
      </c>
      <c r="F22" s="9" t="inlineStr">
        <is>
          <t>Admin logged in; priya.menon is pending (is_approved=false).</t>
        </is>
      </c>
      <c r="G22" s="9" t="inlineStr">
        <is>
          <t>1. Open /users; locate priya.menon's row (status 'Pending Approval').
2. Click 'Approve'.
3. Observe the row update and the Network call.</t>
        </is>
      </c>
      <c r="H22" s="9" t="inlineStr">
        <is>
          <t>User: priya.menon@saranam.in</t>
        </is>
      </c>
      <c r="I22" s="9" t="inlineStr">
        <is>
          <t>POST /api/users/{id}/approve returns 200 with the updated user (is_approved=true, is_active=true). The row's status flips to green 'Active' and actions become Deactivate/Edit, with no full reload. The header pending count decreases by 1.</t>
        </is>
      </c>
      <c r="J22" s="9" t="inlineStr">
        <is>
          <t>POST /api/users/{id}/approve</t>
        </is>
      </c>
      <c r="K22" s="11" t="inlineStr"/>
      <c r="L22" s="12" t="inlineStr">
        <is>
          <t>Not Executed</t>
        </is>
      </c>
      <c r="M22" s="12" t="inlineStr"/>
      <c r="N22" s="12" t="inlineStr"/>
      <c r="O22" s="12" t="inlineStr"/>
      <c r="P22" s="11" t="inlineStr"/>
    </row>
    <row r="23" ht="90" customHeight="1">
      <c r="A23" s="8" t="inlineStr">
        <is>
          <t>USR-022</t>
        </is>
      </c>
      <c r="B23" s="9" t="inlineStr">
        <is>
          <t>Approve / Reject</t>
        </is>
      </c>
      <c r="C23" s="9" t="inlineStr">
        <is>
          <t>Reject a pending user requires confirmation and soft-deletes</t>
        </is>
      </c>
      <c r="D23" s="10" t="inlineStr">
        <is>
          <t>High</t>
        </is>
      </c>
      <c r="E23" s="9" t="inlineStr">
        <is>
          <t>Functional</t>
        </is>
      </c>
      <c r="F23" s="9" t="inlineStr">
        <is>
          <t>Admin logged in; a fresh pending user exists.</t>
        </is>
      </c>
      <c r="G23" s="9" t="inlineStr">
        <is>
          <t>1. Open /users; locate the pending user.
2. Click 'Reject'.
3. In the browser confirm() dialog, first click Cancel and verify nothing changes.
4. Click 'Reject' again and confirm OK.
5. Observe the row and the Network call.</t>
        </is>
      </c>
      <c r="H23" s="9" t="inlineStr">
        <is>
          <t>User: a pending account</t>
        </is>
      </c>
      <c r="I23" s="9" t="inlineStr">
        <is>
          <t>Cancelling the confirm() aborts (no API call). Confirming sends POST /api/users/{id}/reject -&gt; 200; user becomes is_approved=false, is_active=false. The updated user replaces the row (it remains in the list, not removed). The pending count drops by 1.</t>
        </is>
      </c>
      <c r="J23" s="9" t="inlineStr">
        <is>
          <t>POST /api/users/{id}/reject</t>
        </is>
      </c>
      <c r="K23" s="11" t="inlineStr"/>
      <c r="L23" s="12" t="inlineStr">
        <is>
          <t>Not Executed</t>
        </is>
      </c>
      <c r="M23" s="12" t="inlineStr"/>
      <c r="N23" s="12" t="inlineStr"/>
      <c r="O23" s="12" t="inlineStr"/>
      <c r="P23" s="11" t="inlineStr"/>
    </row>
    <row r="24" ht="75" customHeight="1">
      <c r="A24" s="8" t="inlineStr">
        <is>
          <t>USR-023</t>
        </is>
      </c>
      <c r="B24" s="9" t="inlineStr">
        <is>
          <t>Approve / Reject</t>
        </is>
      </c>
      <c r="C24" s="9" t="inlineStr">
        <is>
          <t>Approve already-approved user returns a handled error</t>
        </is>
      </c>
      <c r="D24" s="13" t="inlineStr">
        <is>
          <t>Medium</t>
        </is>
      </c>
      <c r="E24" s="9" t="inlineStr">
        <is>
          <t>Negative</t>
        </is>
      </c>
      <c r="F24" s="9" t="inlineStr">
        <is>
          <t>Admin logged in; have an approved user's UUID.</t>
        </is>
      </c>
      <c r="G24" s="9" t="inlineStr">
        <is>
          <t>1. Call POST /api/users/{approvedId}/approve directly (or trigger a duplicate approve race).
2. Inspect the response.
3. In UI: if reachable, confirm an alert() shows the message.</t>
        </is>
      </c>
      <c r="H24" s="9" t="inlineStr">
        <is>
          <t>Approved user UUID</t>
        </is>
      </c>
      <c r="I24" s="9" t="inlineStr">
        <is>
          <t>API returns 400 with message 'User is already approved' and error 'approve_failed'. If surfaced via UI handler, an alert() displays the server message; the list is unchanged.</t>
        </is>
      </c>
      <c r="J24" s="9" t="inlineStr">
        <is>
          <t>POST /api/users/{id}/approve</t>
        </is>
      </c>
      <c r="K24" s="11" t="inlineStr"/>
      <c r="L24" s="12" t="inlineStr">
        <is>
          <t>Not Executed</t>
        </is>
      </c>
      <c r="M24" s="12" t="inlineStr"/>
      <c r="N24" s="12" t="inlineStr"/>
      <c r="O24" s="12" t="inlineStr"/>
      <c r="P24" s="11" t="inlineStr"/>
    </row>
    <row r="25" ht="60" customHeight="1">
      <c r="A25" s="8" t="inlineStr">
        <is>
          <t>USR-024</t>
        </is>
      </c>
      <c r="B25" s="9" t="inlineStr">
        <is>
          <t>Approve / Reject</t>
        </is>
      </c>
      <c r="C25" s="9" t="inlineStr">
        <is>
          <t>Approve action failure surfaces an alert</t>
        </is>
      </c>
      <c r="D25" s="13" t="inlineStr">
        <is>
          <t>Medium</t>
        </is>
      </c>
      <c r="E25" s="9" t="inlineStr">
        <is>
          <t>Negative</t>
        </is>
      </c>
      <c r="F25" s="9" t="inlineStr">
        <is>
          <t>Admin logged in; force the approve request to 500/network-fail in DevTools.</t>
        </is>
      </c>
      <c r="G25" s="9" t="inlineStr">
        <is>
          <t>1. Open /users; on a pending row click 'Approve' while the request is forced to fail.
2. Observe the UI.</t>
        </is>
      </c>
      <c r="H25" s="9" t="inlineStr">
        <is>
          <t>N/A</t>
        </is>
      </c>
      <c r="I25" s="9" t="inlineStr">
        <is>
          <t>A browser alert() shows err.response.data.message or 'Failed to approve user'; the row stays 'Pending Approval' (no optimistic change applied on failure).</t>
        </is>
      </c>
      <c r="J25" s="9" t="inlineStr">
        <is>
          <t>POST /api/users/{id}/approve</t>
        </is>
      </c>
      <c r="K25" s="11" t="inlineStr"/>
      <c r="L25" s="12" t="inlineStr">
        <is>
          <t>Not Executed</t>
        </is>
      </c>
      <c r="M25" s="12" t="inlineStr"/>
      <c r="N25" s="12" t="inlineStr"/>
      <c r="O25" s="12" t="inlineStr"/>
      <c r="P25" s="11" t="inlineStr"/>
    </row>
    <row r="26" ht="105" customHeight="1">
      <c r="A26" s="14" t="inlineStr">
        <is>
          <t>USR-025</t>
        </is>
      </c>
      <c r="B26" s="15" t="inlineStr">
        <is>
          <t>Activate / Deactivate</t>
        </is>
      </c>
      <c r="C26" s="15" t="inlineStr">
        <is>
          <t>Deactivate an active approved user</t>
        </is>
      </c>
      <c r="D26" s="17" t="inlineStr">
        <is>
          <t>High</t>
        </is>
      </c>
      <c r="E26" s="15" t="inlineStr">
        <is>
          <t>Functional</t>
        </is>
      </c>
      <c r="F26" s="15" t="inlineStr">
        <is>
          <t>Admin logged in; rajesh.kumar is active+approved.</t>
        </is>
      </c>
      <c r="G26" s="15" t="inlineStr">
        <is>
          <t>1. Open /users; locate rajesh.kumar (status 'Active').
2. Click 'Deactivate'.
3. Observe the row and Network call.</t>
        </is>
      </c>
      <c r="H26" s="15" t="inlineStr">
        <is>
          <t>User: rajesh.kumar@saranam.in</t>
        </is>
      </c>
      <c r="I26" s="15" t="inlineStr">
        <is>
          <t>PUT /api/users/{id}/toggle-status -&gt; 200 message 'User deactivated successfully'; is_active=false. Row status becomes grey 'Inactive'; action button label flips to 'Activate' (green). No confirmation prompt is shown for deactivate (note: no confirm guard — flag if business wants one).</t>
        </is>
      </c>
      <c r="J26" s="15" t="inlineStr">
        <is>
          <t>PUT /api/users/{id}/toggle-status</t>
        </is>
      </c>
      <c r="K26" s="11" t="inlineStr"/>
      <c r="L26" s="12" t="inlineStr">
        <is>
          <t>Not Executed</t>
        </is>
      </c>
      <c r="M26" s="12" t="inlineStr"/>
      <c r="N26" s="12" t="inlineStr"/>
      <c r="O26" s="12" t="inlineStr"/>
      <c r="P26" s="11" t="inlineStr"/>
    </row>
    <row r="27" ht="60" customHeight="1">
      <c r="A27" s="14" t="inlineStr">
        <is>
          <t>USR-026</t>
        </is>
      </c>
      <c r="B27" s="15" t="inlineStr">
        <is>
          <t>Activate / Deactivate</t>
        </is>
      </c>
      <c r="C27" s="15" t="inlineStr">
        <is>
          <t>Reactivate a deactivated user</t>
        </is>
      </c>
      <c r="D27" s="17" t="inlineStr">
        <is>
          <t>High</t>
        </is>
      </c>
      <c r="E27" s="15" t="inlineStr">
        <is>
          <t>Functional</t>
        </is>
      </c>
      <c r="F27" s="15" t="inlineStr">
        <is>
          <t>Admin logged in; meena.raman is approved but inactive.</t>
        </is>
      </c>
      <c r="G27" s="15" t="inlineStr">
        <is>
          <t>1. Open /users; locate meena.raman (status 'Inactive', action 'Activate').
2. Click 'Activate'.
3. Observe the row.</t>
        </is>
      </c>
      <c r="H27" s="15" t="inlineStr">
        <is>
          <t>User: meena.raman@saranam.in</t>
        </is>
      </c>
      <c r="I27" s="15" t="inlineStr">
        <is>
          <t>PUT /api/users/{id}/toggle-status -&gt; 200 'User activated successfully'; is_active=true. Row status becomes green 'Active'; action flips to 'Deactivate'.</t>
        </is>
      </c>
      <c r="J27" s="15" t="inlineStr">
        <is>
          <t>PUT /api/users/{id}/toggle-status</t>
        </is>
      </c>
      <c r="K27" s="11" t="inlineStr"/>
      <c r="L27" s="12" t="inlineStr">
        <is>
          <t>Not Executed</t>
        </is>
      </c>
      <c r="M27" s="12" t="inlineStr"/>
      <c r="N27" s="12" t="inlineStr"/>
      <c r="O27" s="12" t="inlineStr"/>
      <c r="P27" s="11" t="inlineStr"/>
    </row>
    <row r="28" ht="60" customHeight="1">
      <c r="A28" s="14" t="inlineStr">
        <is>
          <t>USR-027</t>
        </is>
      </c>
      <c r="B28" s="15" t="inlineStr">
        <is>
          <t>Activate / Deactivate</t>
        </is>
      </c>
      <c r="C28" s="15" t="inlineStr">
        <is>
          <t>Toggle-status failure surfaces an alert and reverts UI</t>
        </is>
      </c>
      <c r="D28" s="16" t="inlineStr">
        <is>
          <t>Medium</t>
        </is>
      </c>
      <c r="E28" s="15" t="inlineStr">
        <is>
          <t>Negative</t>
        </is>
      </c>
      <c r="F28" s="15" t="inlineStr">
        <is>
          <t>Admin logged in; force toggle-status to fail.</t>
        </is>
      </c>
      <c r="G28" s="15" t="inlineStr">
        <is>
          <t>1. On an active row, click 'Deactivate' with the request forced to 500.
2. Observe.</t>
        </is>
      </c>
      <c r="H28" s="15" t="inlineStr">
        <is>
          <t>N/A</t>
        </is>
      </c>
      <c r="I28" s="15" t="inlineStr">
        <is>
          <t>alert() shows the message or 'Failed to update user status'; row status is unchanged because the list is only updated from a successful response.</t>
        </is>
      </c>
      <c r="J28" s="15" t="inlineStr">
        <is>
          <t>PUT /api/users/{id}/toggle-status</t>
        </is>
      </c>
      <c r="K28" s="11" t="inlineStr"/>
      <c r="L28" s="12" t="inlineStr">
        <is>
          <t>Not Executed</t>
        </is>
      </c>
      <c r="M28" s="12" t="inlineStr"/>
      <c r="N28" s="12" t="inlineStr"/>
      <c r="O28" s="12" t="inlineStr"/>
      <c r="P28" s="11" t="inlineStr"/>
    </row>
    <row r="29" ht="150" customHeight="1">
      <c r="A29" s="8" t="inlineStr">
        <is>
          <t>USR-028</t>
        </is>
      </c>
      <c r="B29" s="9" t="inlineStr">
        <is>
          <t>Edit User</t>
        </is>
      </c>
      <c r="C29" s="9" t="inlineStr">
        <is>
          <t>Open Edit modal — fields pre-populate from the selected user</t>
        </is>
      </c>
      <c r="D29" s="10" t="inlineStr">
        <is>
          <t>High</t>
        </is>
      </c>
      <c r="E29" s="9" t="inlineStr">
        <is>
          <t>Functional</t>
        </is>
      </c>
      <c r="F29" s="9" t="inlineStr">
        <is>
          <t>Admin logged in; an approved user exists.</t>
        </is>
      </c>
      <c r="G29" s="9" t="inlineStr">
        <is>
          <t>1. Open /users; click 'Edit' on an approved user's row.
2. Observe the modal.</t>
        </is>
      </c>
      <c r="H29" s="9" t="inlineStr">
        <is>
          <t>User: anjali.nair@saranam.in</t>
        </is>
      </c>
      <c r="I29" s="9" t="inlineStr">
        <is>
          <t>A centered modal 'Edit User' opens over a dark overlay. Full Name, Email (type=email), and Role (select: Viewer/Data Entry/Admin) are pre-filled with the user's current values. Helper text 'Admin: Full access | Data Entry: Submit forms | Viewer: View only' is shown. Buttons: Cancel and Save Changes. NOTE: only approved users expose an Edit button; pending rows show Approve/Reject instead.</t>
        </is>
      </c>
      <c r="J29" s="9" t="inlineStr">
        <is>
          <t>N/A</t>
        </is>
      </c>
      <c r="K29" s="11" t="inlineStr"/>
      <c r="L29" s="12" t="inlineStr">
        <is>
          <t>Not Executed</t>
        </is>
      </c>
      <c r="M29" s="12" t="inlineStr"/>
      <c r="N29" s="12" t="inlineStr"/>
      <c r="O29" s="12" t="inlineStr"/>
      <c r="P29" s="11" t="inlineStr"/>
    </row>
    <row r="30" ht="90" customHeight="1">
      <c r="A30" s="8" t="inlineStr">
        <is>
          <t>USR-029</t>
        </is>
      </c>
      <c r="B30" s="9" t="inlineStr">
        <is>
          <t>Edit User</t>
        </is>
      </c>
      <c r="C30" s="9" t="inlineStr">
        <is>
          <t>Edit full_name successfully</t>
        </is>
      </c>
      <c r="D30" s="10" t="inlineStr">
        <is>
          <t>High</t>
        </is>
      </c>
      <c r="E30" s="9" t="inlineStr">
        <is>
          <t>Functional</t>
        </is>
      </c>
      <c r="F30" s="9" t="inlineStr">
        <is>
          <t>Admin logged in; Edit modal open for a user.</t>
        </is>
      </c>
      <c r="G30" s="9" t="inlineStr">
        <is>
          <t>1. Change Full Name to 'Anjali R Nair'.
2. Click 'Save Changes'.
3. Observe the button state, modal close, and list.</t>
        </is>
      </c>
      <c r="H30" s="9" t="inlineStr">
        <is>
          <t>full_name = Anjali R Nair</t>
        </is>
      </c>
      <c r="I30" s="9" t="inlineStr">
        <is>
          <t>PUT /api/users/{id} body {full_name,email,role} -&gt; 200. While saving, the button reads 'Saving...' and both buttons are disabled. On success the modal closes and the list reloads (loadUsers) showing the new name.</t>
        </is>
      </c>
      <c r="J30" s="9" t="inlineStr">
        <is>
          <t>PUT /api/users/{id}</t>
        </is>
      </c>
      <c r="K30" s="11" t="inlineStr"/>
      <c r="L30" s="12" t="inlineStr">
        <is>
          <t>Not Executed</t>
        </is>
      </c>
      <c r="M30" s="12" t="inlineStr"/>
      <c r="N30" s="12" t="inlineStr"/>
      <c r="O30" s="12" t="inlineStr"/>
      <c r="P30" s="11" t="inlineStr"/>
    </row>
    <row r="31" ht="75" customHeight="1">
      <c r="A31" s="8" t="inlineStr">
        <is>
          <t>USR-030</t>
        </is>
      </c>
      <c r="B31" s="9" t="inlineStr">
        <is>
          <t>Edit User</t>
        </is>
      </c>
      <c r="C31" s="9" t="inlineStr">
        <is>
          <t>Edit email to a new unique value successfully</t>
        </is>
      </c>
      <c r="D31" s="10" t="inlineStr">
        <is>
          <t>High</t>
        </is>
      </c>
      <c r="E31" s="9" t="inlineStr">
        <is>
          <t>Functional</t>
        </is>
      </c>
      <c r="F31" s="9" t="inlineStr">
        <is>
          <t>Admin logged in; Edit modal open.</t>
        </is>
      </c>
      <c r="G31" s="9" t="inlineStr">
        <is>
          <t>1. Change Email to a new unused address.
2. Click 'Save Changes'.</t>
        </is>
      </c>
      <c r="H31" s="9" t="inlineStr">
        <is>
          <t>email = anjali.r.nair@saranam.in</t>
        </is>
      </c>
      <c r="I31" s="9" t="inlineStr">
        <is>
          <t>PUT /api/users/{id} -&gt; 200; email updated. Modal closes; list shows the new email. (Side note: changing a user's email does NOT log them out or invalidate existing tokens.)</t>
        </is>
      </c>
      <c r="J31" s="9" t="inlineStr">
        <is>
          <t>PUT /api/users/{id}</t>
        </is>
      </c>
      <c r="K31" s="11" t="inlineStr"/>
      <c r="L31" s="12" t="inlineStr">
        <is>
          <t>Not Executed</t>
        </is>
      </c>
      <c r="M31" s="12" t="inlineStr"/>
      <c r="N31" s="12" t="inlineStr"/>
      <c r="O31" s="12" t="inlineStr"/>
      <c r="P31" s="11" t="inlineStr"/>
    </row>
    <row r="32" ht="120" customHeight="1">
      <c r="A32" s="8" t="inlineStr">
        <is>
          <t>USR-031</t>
        </is>
      </c>
      <c r="B32" s="9" t="inlineStr">
        <is>
          <t>Edit User</t>
        </is>
      </c>
      <c r="C32" s="9" t="inlineStr">
        <is>
          <t>Change a user's role and verify access changes (promote to admin)</t>
        </is>
      </c>
      <c r="D32" s="10" t="inlineStr">
        <is>
          <t>High</t>
        </is>
      </c>
      <c r="E32" s="9" t="inlineStr">
        <is>
          <t>Data Integrity</t>
        </is>
      </c>
      <c r="F32" s="9" t="inlineStr">
        <is>
          <t>Admin logged in; data_entry user rajesh.kumar exists and can currently log in.</t>
        </is>
      </c>
      <c r="G32" s="9" t="inlineStr">
        <is>
          <t>1. Edit rajesh.kumar; change Role to Admin; Save.
2. Log out; log in as rajesh.kumar.
3. Confirm the 'Users' and 'Call Logs' items now appear and /users is accessible.
4. (Then revert role to data_entry for cleanup.)</t>
        </is>
      </c>
      <c r="H32" s="9" t="inlineStr">
        <is>
          <t>role: data_entry -&gt; admin</t>
        </is>
      </c>
      <c r="I32" s="9" t="inlineStr">
        <is>
          <t>PUT /api/users/{id} role=admin -&gt; 200. After re-login (token must be refreshed to carry the new role claim) the user gains manage_users: sees Users + Call Logs in sidebar and can open /users. Confirms role-to-permission integrity. IMPORTANT: an EXISTING session keeps its old role claim until the token is refreshed/re-login.</t>
        </is>
      </c>
      <c r="J32" s="9" t="inlineStr">
        <is>
          <t>PUT /api/users/{id}</t>
        </is>
      </c>
      <c r="K32" s="11" t="inlineStr"/>
      <c r="L32" s="12" t="inlineStr">
        <is>
          <t>Not Executed</t>
        </is>
      </c>
      <c r="M32" s="12" t="inlineStr"/>
      <c r="N32" s="12" t="inlineStr"/>
      <c r="O32" s="12" t="inlineStr"/>
      <c r="P32" s="11" t="inlineStr"/>
    </row>
    <row r="33" ht="75" customHeight="1">
      <c r="A33" s="8" t="inlineStr">
        <is>
          <t>USR-032</t>
        </is>
      </c>
      <c r="B33" s="9" t="inlineStr">
        <is>
          <t>Edit User</t>
        </is>
      </c>
      <c r="C33" s="9" t="inlineStr">
        <is>
          <t>Demote an admin and verify loss of access</t>
        </is>
      </c>
      <c r="D33" s="10" t="inlineStr">
        <is>
          <t>High</t>
        </is>
      </c>
      <c r="E33" s="9" t="inlineStr">
        <is>
          <t>Data Integrity</t>
        </is>
      </c>
      <c r="F33" s="9" t="inlineStr">
        <is>
          <t>Admin logged in; a second admin (admin2_qa) exists to be demoted.</t>
        </is>
      </c>
      <c r="G33" s="9" t="inlineStr">
        <is>
          <t>1. Edit admin2_qa; change Role to Viewer; Save.
2. Log out; log in as admin2_qa.
3. Confirm 'Users' sidebar item is gone and /users shows 'Access Denied'.
4. Confirm Users API returns 403 for this user.</t>
        </is>
      </c>
      <c r="H33" s="9" t="inlineStr">
        <is>
          <t>role: admin -&gt; viewer</t>
        </is>
      </c>
      <c r="I33" s="9" t="inlineStr">
        <is>
          <t>After re-login admin2_qa loses manage_users: no Users item, /users denied, API 403. Confirms demotion revokes access.</t>
        </is>
      </c>
      <c r="J33" s="9" t="inlineStr">
        <is>
          <t>PUT /api/users/{id}</t>
        </is>
      </c>
      <c r="K33" s="11" t="inlineStr"/>
      <c r="L33" s="12" t="inlineStr">
        <is>
          <t>Not Executed</t>
        </is>
      </c>
      <c r="M33" s="12" t="inlineStr"/>
      <c r="N33" s="12" t="inlineStr"/>
      <c r="O33" s="12" t="inlineStr"/>
      <c r="P33" s="11" t="inlineStr"/>
    </row>
    <row r="34" ht="75" customHeight="1">
      <c r="A34" s="8" t="inlineStr">
        <is>
          <t>USR-033</t>
        </is>
      </c>
      <c r="B34" s="9" t="inlineStr">
        <is>
          <t>Edit User</t>
        </is>
      </c>
      <c r="C34" s="9" t="inlineStr">
        <is>
          <t>Edit validation — Full Name required and minLength 2</t>
        </is>
      </c>
      <c r="D34" s="10" t="inlineStr">
        <is>
          <t>High</t>
        </is>
      </c>
      <c r="E34" s="9" t="inlineStr">
        <is>
          <t>Validation</t>
        </is>
      </c>
      <c r="F34" s="9" t="inlineStr">
        <is>
          <t>Admin logged in; Edit modal open.</t>
        </is>
      </c>
      <c r="G34" s="9" t="inlineStr">
        <is>
          <t>1. Clear Full Name and click Save -&gt; observe browser 'required' prompt.
2. Enter a single character 'A' and click Save -&gt; observe minLength prompt.
3. Verify no API call is sent while invalid.</t>
        </is>
      </c>
      <c r="H34" s="9" t="inlineStr">
        <is>
          <t>full_name = '' then 'A'</t>
        </is>
      </c>
      <c r="I34" s="9" t="inlineStr">
        <is>
          <t>HTML5 validation blocks submit: empty triggers required; single char triggers minLength=2. No PUT is sent until full_name has &gt;=2 chars. (Backend also enforces len&gt;=2 via UpdateUserSchema as defence-in-depth.)</t>
        </is>
      </c>
      <c r="J34" s="9" t="inlineStr">
        <is>
          <t>PUT /api/users/{id}</t>
        </is>
      </c>
      <c r="K34" s="11" t="inlineStr"/>
      <c r="L34" s="12" t="inlineStr">
        <is>
          <t>Not Executed</t>
        </is>
      </c>
      <c r="M34" s="12" t="inlineStr"/>
      <c r="N34" s="12" t="inlineStr"/>
      <c r="O34" s="12" t="inlineStr"/>
      <c r="P34" s="11" t="inlineStr"/>
    </row>
    <row r="35" ht="75" customHeight="1">
      <c r="A35" s="8" t="inlineStr">
        <is>
          <t>USR-034</t>
        </is>
      </c>
      <c r="B35" s="9" t="inlineStr">
        <is>
          <t>Edit User</t>
        </is>
      </c>
      <c r="C35" s="9" t="inlineStr">
        <is>
          <t>Edit validation — Email required and must be a valid format</t>
        </is>
      </c>
      <c r="D35" s="10" t="inlineStr">
        <is>
          <t>High</t>
        </is>
      </c>
      <c r="E35" s="9" t="inlineStr">
        <is>
          <t>Validation</t>
        </is>
      </c>
      <c r="F35" s="9" t="inlineStr">
        <is>
          <t>Admin logged in; Edit modal open.</t>
        </is>
      </c>
      <c r="G35" s="9" t="inlineStr">
        <is>
          <t>1. Clear Email; Save -&gt; required prompt.
2. Enter 'not-an-email'; Save -&gt; type=email format prompt.
3. Enter 'foo@'; Save -&gt; still invalid.</t>
        </is>
      </c>
      <c r="H35" s="9" t="inlineStr">
        <is>
          <t>email = '', 'not-an-email', 'foo@'</t>
        </is>
      </c>
      <c r="I35" s="9" t="inlineStr">
        <is>
          <t>type=email + required block submission for empty/invalid values; no PUT sent. Backend fields.Email() also rejects invalid emails with 400 'Validation error' if the client check is bypassed.</t>
        </is>
      </c>
      <c r="J35" s="9" t="inlineStr">
        <is>
          <t>PUT /api/users/{id}</t>
        </is>
      </c>
      <c r="K35" s="11" t="inlineStr"/>
      <c r="L35" s="12" t="inlineStr">
        <is>
          <t>Not Executed</t>
        </is>
      </c>
      <c r="M35" s="12" t="inlineStr"/>
      <c r="N35" s="12" t="inlineStr"/>
      <c r="O35" s="12" t="inlineStr"/>
      <c r="P35" s="11" t="inlineStr"/>
    </row>
    <row r="36" ht="75" customHeight="1">
      <c r="A36" s="8" t="inlineStr">
        <is>
          <t>USR-035</t>
        </is>
      </c>
      <c r="B36" s="9" t="inlineStr">
        <is>
          <t>Edit User</t>
        </is>
      </c>
      <c r="C36" s="9" t="inlineStr">
        <is>
          <t>Edit to a duplicate email is rejected by the server</t>
        </is>
      </c>
      <c r="D36" s="10" t="inlineStr">
        <is>
          <t>High</t>
        </is>
      </c>
      <c r="E36" s="9" t="inlineStr">
        <is>
          <t>Negative</t>
        </is>
      </c>
      <c r="F36" s="9" t="inlineStr">
        <is>
          <t>Admin logged in; two users exist; one has rajesh.kumar@saranam.in.</t>
        </is>
      </c>
      <c r="G36" s="9" t="inlineStr">
        <is>
          <t>1. Edit a DIFFERENT user; change Email to rajesh.kumar@saranam.in (already in use).
2. Click Save.
3. Observe the modal.</t>
        </is>
      </c>
      <c r="H36" s="9" t="inlineStr">
        <is>
          <t>email = rajesh.kumar@saranam.in (existing)</t>
        </is>
      </c>
      <c r="I36" s="9" t="inlineStr">
        <is>
          <t>PUT /api/users/{id} -&gt; 400 message 'Email already in use' (error 'update_failed'). The modal stays open and shows the red alert with that message; the user is NOT updated.</t>
        </is>
      </c>
      <c r="J36" s="9" t="inlineStr">
        <is>
          <t>PUT /api/users/{id}</t>
        </is>
      </c>
      <c r="K36" s="11" t="inlineStr"/>
      <c r="L36" s="12" t="inlineStr">
        <is>
          <t>Not Executed</t>
        </is>
      </c>
      <c r="M36" s="12" t="inlineStr"/>
      <c r="N36" s="12" t="inlineStr"/>
      <c r="O36" s="12" t="inlineStr"/>
      <c r="P36" s="11" t="inlineStr"/>
    </row>
    <row r="37" ht="60" customHeight="1">
      <c r="A37" s="8" t="inlineStr">
        <is>
          <t>USR-036</t>
        </is>
      </c>
      <c r="B37" s="9" t="inlineStr">
        <is>
          <t>Edit User</t>
        </is>
      </c>
      <c r="C37" s="9" t="inlineStr">
        <is>
          <t>Setting email to the same value (unchanged) saves without duplicate error</t>
        </is>
      </c>
      <c r="D37" s="19" t="inlineStr">
        <is>
          <t>Low</t>
        </is>
      </c>
      <c r="E37" s="9" t="inlineStr">
        <is>
          <t>Edge Case</t>
        </is>
      </c>
      <c r="F37" s="9" t="inlineStr">
        <is>
          <t>Admin logged in; Edit modal open.</t>
        </is>
      </c>
      <c r="G37" s="9" t="inlineStr">
        <is>
          <t>1. Leave Email unchanged; change only Full Name; Save.</t>
        </is>
      </c>
      <c r="H37" s="9" t="inlineStr">
        <is>
          <t>email unchanged</t>
        </is>
      </c>
      <c r="I37" s="9" t="inlineStr">
        <is>
          <t>Server only runs the uniqueness check when email != current email, so an unchanged email saves successfully (200). No false 'Email already in use'.</t>
        </is>
      </c>
      <c r="J37" s="9" t="inlineStr">
        <is>
          <t>PUT /api/users/{id}</t>
        </is>
      </c>
      <c r="K37" s="11" t="inlineStr"/>
      <c r="L37" s="12" t="inlineStr">
        <is>
          <t>Not Executed</t>
        </is>
      </c>
      <c r="M37" s="12" t="inlineStr"/>
      <c r="N37" s="12" t="inlineStr"/>
      <c r="O37" s="12" t="inlineStr"/>
      <c r="P37" s="11" t="inlineStr"/>
    </row>
    <row r="38" ht="105" customHeight="1">
      <c r="A38" s="8" t="inlineStr">
        <is>
          <t>USR-037</t>
        </is>
      </c>
      <c r="B38" s="9" t="inlineStr">
        <is>
          <t>Edit User</t>
        </is>
      </c>
      <c r="C38" s="9" t="inlineStr">
        <is>
          <t>Cancel and X-close discard edits without saving</t>
        </is>
      </c>
      <c r="D38" s="13" t="inlineStr">
        <is>
          <t>Medium</t>
        </is>
      </c>
      <c r="E38" s="9" t="inlineStr">
        <is>
          <t>Functional</t>
        </is>
      </c>
      <c r="F38" s="9" t="inlineStr">
        <is>
          <t>Admin logged in; Edit modal open.</t>
        </is>
      </c>
      <c r="G38" s="9" t="inlineStr">
        <is>
          <t>1. Change Full Name to a new value.
2. Click 'Cancel' -&gt; modal closes; verify list unchanged.
3. Re-open Edit, change a field, click the top-right X -&gt; modal closes; verify list unchanged.
4. Confirm no PUT request was sent in either case.</t>
        </is>
      </c>
      <c r="H38" s="9" t="inlineStr">
        <is>
          <t>Any edited value not saved</t>
        </is>
      </c>
      <c r="I38" s="9" t="inlineStr">
        <is>
          <t>Both Cancel and X close the modal (onClose) and DISCARD changes — no PUT call, list values unchanged. Buttons are disabled while a save is in flight.</t>
        </is>
      </c>
      <c r="J38" s="9" t="inlineStr">
        <is>
          <t>N/A</t>
        </is>
      </c>
      <c r="K38" s="11" t="inlineStr"/>
      <c r="L38" s="12" t="inlineStr">
        <is>
          <t>Not Executed</t>
        </is>
      </c>
      <c r="M38" s="12" t="inlineStr"/>
      <c r="N38" s="12" t="inlineStr"/>
      <c r="O38" s="12" t="inlineStr"/>
      <c r="P38" s="11" t="inlineStr"/>
    </row>
    <row r="39" ht="75" customHeight="1">
      <c r="A39" s="8" t="inlineStr">
        <is>
          <t>USR-038</t>
        </is>
      </c>
      <c r="B39" s="9" t="inlineStr">
        <is>
          <t>Edit User</t>
        </is>
      </c>
      <c r="C39" s="9" t="inlineStr">
        <is>
          <t>Edit save failure (500/network) shows in-modal error and keeps modal open</t>
        </is>
      </c>
      <c r="D39" s="13" t="inlineStr">
        <is>
          <t>Medium</t>
        </is>
      </c>
      <c r="E39" s="9" t="inlineStr">
        <is>
          <t>Negative</t>
        </is>
      </c>
      <c r="F39" s="9" t="inlineStr">
        <is>
          <t>Admin logged in; Edit modal open; force PUT /api/users/{id} to 500.</t>
        </is>
      </c>
      <c r="G39" s="9" t="inlineStr">
        <is>
          <t>1. Change a field; click Save with the request forced to fail.
2. Observe the modal.</t>
        </is>
      </c>
      <c r="H39" s="9" t="inlineStr">
        <is>
          <t>N/A</t>
        </is>
      </c>
      <c r="I39" s="9" t="inlineStr">
        <is>
          <t>The modal stays open, isLoading resets (button back to 'Save Changes'), and a red alert shows err.response.data.message or 'Failed to update user'. No list reload occurs.</t>
        </is>
      </c>
      <c r="J39" s="9" t="inlineStr">
        <is>
          <t>PUT /api/users/{id}</t>
        </is>
      </c>
      <c r="K39" s="11" t="inlineStr"/>
      <c r="L39" s="12" t="inlineStr">
        <is>
          <t>Not Executed</t>
        </is>
      </c>
      <c r="M39" s="12" t="inlineStr"/>
      <c r="N39" s="12" t="inlineStr"/>
      <c r="O39" s="12" t="inlineStr"/>
      <c r="P39" s="11" t="inlineStr"/>
    </row>
    <row r="40" ht="105" customHeight="1">
      <c r="A40" s="8" t="inlineStr">
        <is>
          <t>USR-039</t>
        </is>
      </c>
      <c r="B40" s="9" t="inlineStr">
        <is>
          <t>Edit User</t>
        </is>
      </c>
      <c r="C40" s="9" t="inlineStr">
        <is>
          <t>Invalid role rejected at API level (defence-in-depth)</t>
        </is>
      </c>
      <c r="D40" s="13" t="inlineStr">
        <is>
          <t>Medium</t>
        </is>
      </c>
      <c r="E40" s="9" t="inlineStr">
        <is>
          <t>Negative</t>
        </is>
      </c>
      <c r="F40" s="9" t="inlineStr">
        <is>
          <t>Admin token available; a target user UUID.</t>
        </is>
      </c>
      <c r="G40" s="9" t="inlineStr">
        <is>
          <t>1. Call PUT /api/users/{id} with body {"role":"superuser"} (a value not in the UI dropdown).
2. Inspect the response.</t>
        </is>
      </c>
      <c r="H40" s="9" t="inlineStr">
        <is>
          <t>role = superuser</t>
        </is>
      </c>
      <c r="I40" s="9" t="inlineStr">
        <is>
          <t>Returns 400 'Validation error' (UpdateUserSchema role validator x in [admin,data_entry,viewer] fails) — the service-level 'Invalid role' path is effectively guarded by the schema first. The user's role is NOT changed. The UI dropdown only offers the three valid roles so this is API-only.</t>
        </is>
      </c>
      <c r="J40" s="9" t="inlineStr">
        <is>
          <t>PUT /api/users/{id}</t>
        </is>
      </c>
      <c r="K40" s="11" t="inlineStr"/>
      <c r="L40" s="12" t="inlineStr">
        <is>
          <t>Not Executed</t>
        </is>
      </c>
      <c r="M40" s="12" t="inlineStr"/>
      <c r="N40" s="12" t="inlineStr"/>
      <c r="O40" s="12" t="inlineStr"/>
      <c r="P40" s="11" t="inlineStr"/>
    </row>
    <row r="41" ht="120" customHeight="1">
      <c r="A41" s="8" t="inlineStr">
        <is>
          <t>USR-040</t>
        </is>
      </c>
      <c r="B41" s="9" t="inlineStr">
        <is>
          <t>Edit User</t>
        </is>
      </c>
      <c r="C41" s="9" t="inlineStr">
        <is>
          <t>Very long and special-character inputs in name/email</t>
        </is>
      </c>
      <c r="D41" s="19" t="inlineStr">
        <is>
          <t>Low</t>
        </is>
      </c>
      <c r="E41" s="9" t="inlineStr">
        <is>
          <t>Edge Case</t>
        </is>
      </c>
      <c r="F41" s="9" t="inlineStr">
        <is>
          <t>Admin logged in; Edit modal open.</t>
        </is>
      </c>
      <c r="G41" s="9" t="inlineStr">
        <is>
          <t>1. Enter a 300+ char Full Name (exceeds DB column 255) and Save; observe.
2. Enter a name with unicode/emoji e.g. 'Rao 😀 &lt;script&gt;'; Save; observe.
3. Enter a 260+ char email and Save; observe.</t>
        </is>
      </c>
      <c r="H41" s="9" t="inlineStr">
        <is>
          <t>300-char name; 'Rao 😀 &lt;script&gt;'; 260-char email</t>
        </is>
      </c>
      <c r="I41" s="9" t="inlineStr">
        <is>
          <t>Inputs over the 255-char DB limit should be rejected/handled (expected 400/500 from DB length, not a silent truncation or crash). Unicode is accepted and rendered safely (no script execution / escaped in the table). Document any uncaught 500 as a defect — there is no max-length client validation on these fields.</t>
        </is>
      </c>
      <c r="J41" s="9" t="inlineStr">
        <is>
          <t>PUT /api/users/{id}</t>
        </is>
      </c>
      <c r="K41" s="11" t="inlineStr"/>
      <c r="L41" s="12" t="inlineStr">
        <is>
          <t>Not Executed</t>
        </is>
      </c>
      <c r="M41" s="12" t="inlineStr"/>
      <c r="N41" s="12" t="inlineStr"/>
      <c r="O41" s="12" t="inlineStr"/>
      <c r="P41" s="11" t="inlineStr"/>
    </row>
    <row r="42" ht="90" customHeight="1">
      <c r="A42" s="8" t="inlineStr">
        <is>
          <t>USR-041</t>
        </is>
      </c>
      <c r="B42" s="9" t="inlineStr">
        <is>
          <t>Edit User</t>
        </is>
      </c>
      <c r="C42" s="9" t="inlineStr">
        <is>
          <t>API request payload contains exactly full_name, email, role</t>
        </is>
      </c>
      <c r="D42" s="13" t="inlineStr">
        <is>
          <t>Medium</t>
        </is>
      </c>
      <c r="E42" s="9" t="inlineStr">
        <is>
          <t>API</t>
        </is>
      </c>
      <c r="F42" s="9" t="inlineStr">
        <is>
          <t>Admin logged in; Edit modal open; DevTools Network open.</t>
        </is>
      </c>
      <c r="G42" s="9" t="inlineStr">
        <is>
          <t>1. Change Role to Data Entry; Save.
2. Inspect the PUT request payload and response in Network.</t>
        </is>
      </c>
      <c r="H42" s="9" t="inlineStr">
        <is>
          <t>role = data_entry</t>
        </is>
      </c>
      <c r="I42" s="9" t="inlineStr">
        <is>
          <t>Request: PUT /api/users/{id} with JSON body {full_name, email, role} (no extra fields, no password). Authorization Bearer header present. Response 200 {user, message:'User updated successfully'} with role=data_entry.</t>
        </is>
      </c>
      <c r="J42" s="9" t="inlineStr">
        <is>
          <t>PUT /api/users/{id}</t>
        </is>
      </c>
      <c r="K42" s="11" t="inlineStr"/>
      <c r="L42" s="12" t="inlineStr">
        <is>
          <t>Not Executed</t>
        </is>
      </c>
      <c r="M42" s="12" t="inlineStr"/>
      <c r="N42" s="12" t="inlineStr"/>
      <c r="O42" s="12" t="inlineStr"/>
      <c r="P42" s="11" t="inlineStr"/>
    </row>
    <row r="43" ht="75" customHeight="1">
      <c r="A43" s="14" t="inlineStr">
        <is>
          <t>USR-042</t>
        </is>
      </c>
      <c r="B43" s="15" t="inlineStr">
        <is>
          <t>Role &amp; Permission Integrity</t>
        </is>
      </c>
      <c r="C43" s="15" t="inlineStr">
        <is>
          <t>Deactivated user cannot log in</t>
        </is>
      </c>
      <c r="D43" s="17" t="inlineStr">
        <is>
          <t>High</t>
        </is>
      </c>
      <c r="E43" s="15" t="inlineStr">
        <is>
          <t>Data Integrity</t>
        </is>
      </c>
      <c r="F43" s="15" t="inlineStr">
        <is>
          <t>User account exists and is then deactivated by an admin (USR-025).</t>
        </is>
      </c>
      <c r="G43" s="15" t="inlineStr">
        <is>
          <t>1. As admin, deactivate a known user (is_active=false).
2. Log out; attempt to log in as that user with correct credentials.
3. Observe the login response.</t>
        </is>
      </c>
      <c r="H43" s="15" t="inlineStr">
        <is>
          <t>Deactivated user credentials</t>
        </is>
      </c>
      <c r="I43" s="15" t="inlineStr">
        <is>
          <t>POST /api/auth/login -&gt; 401 with message 'Your account has been deactivated. Please contact the administrator.' Login is refused even with the correct password.</t>
        </is>
      </c>
      <c r="J43" s="15" t="inlineStr">
        <is>
          <t>POST /api/auth/login</t>
        </is>
      </c>
      <c r="K43" s="11" t="inlineStr"/>
      <c r="L43" s="12" t="inlineStr">
        <is>
          <t>Not Executed</t>
        </is>
      </c>
      <c r="M43" s="12" t="inlineStr"/>
      <c r="N43" s="12" t="inlineStr"/>
      <c r="O43" s="12" t="inlineStr"/>
      <c r="P43" s="11" t="inlineStr"/>
    </row>
    <row r="44" ht="60" customHeight="1">
      <c r="A44" s="14" t="inlineStr">
        <is>
          <t>USR-043</t>
        </is>
      </c>
      <c r="B44" s="15" t="inlineStr">
        <is>
          <t>Role &amp; Permission Integrity</t>
        </is>
      </c>
      <c r="C44" s="15" t="inlineStr">
        <is>
          <t>Pending (unapproved) user cannot log in</t>
        </is>
      </c>
      <c r="D44" s="17" t="inlineStr">
        <is>
          <t>High</t>
        </is>
      </c>
      <c r="E44" s="15" t="inlineStr">
        <is>
          <t>Data Integrity</t>
        </is>
      </c>
      <c r="F44" s="15" t="inlineStr">
        <is>
          <t>A self-registered user that has not been approved (priya.menon).</t>
        </is>
      </c>
      <c r="G44" s="15" t="inlineStr">
        <is>
          <t>1. Attempt to log in as priya.menon with correct credentials before approval.
2. Observe the response.</t>
        </is>
      </c>
      <c r="H44" s="15" t="inlineStr">
        <is>
          <t>priya.menon@saranam.in / Pend@1234</t>
        </is>
      </c>
      <c r="I44" s="15" t="inlineStr">
        <is>
          <t>POST /api/auth/login -&gt; 401 'Your account is pending admin approval. Please contact the administrator.' After USR-021 approval the same login succeeds.</t>
        </is>
      </c>
      <c r="J44" s="15" t="inlineStr">
        <is>
          <t>POST /api/auth/login</t>
        </is>
      </c>
      <c r="K44" s="11" t="inlineStr"/>
      <c r="L44" s="12" t="inlineStr">
        <is>
          <t>Not Executed</t>
        </is>
      </c>
      <c r="M44" s="12" t="inlineStr"/>
      <c r="N44" s="12" t="inlineStr"/>
      <c r="O44" s="12" t="inlineStr"/>
      <c r="P44" s="11" t="inlineStr"/>
    </row>
    <row r="45" ht="105" customHeight="1">
      <c r="A45" s="14" t="inlineStr">
        <is>
          <t>USR-044</t>
        </is>
      </c>
      <c r="B45" s="15" t="inlineStr">
        <is>
          <t>Role &amp; Permission Integrity</t>
        </is>
      </c>
      <c r="C45" s="15" t="inlineStr">
        <is>
          <t>Rejected user cannot log in and remains visible to admin</t>
        </is>
      </c>
      <c r="D45" s="16" t="inlineStr">
        <is>
          <t>Medium</t>
        </is>
      </c>
      <c r="E45" s="15" t="inlineStr">
        <is>
          <t>Data Integrity</t>
        </is>
      </c>
      <c r="F45" s="15" t="inlineStr">
        <is>
          <t>A user rejected via USR-022 (is_approved=false, is_active=false).</t>
        </is>
      </c>
      <c r="G45" s="15" t="inlineStr">
        <is>
          <t>1. Attempt to log in as the rejected user.
2. As admin, confirm the user still appears in the list.</t>
        </is>
      </c>
      <c r="H45" s="15" t="inlineStr">
        <is>
          <t>Rejected user credentials</t>
        </is>
      </c>
      <c r="I45" s="15" t="inlineStr">
        <is>
          <t>Login -&gt; 401 (deactivated message takes effect since is_active=false is checked; note is_approved=false would also block). The user is NOT deleted — they remain in the admin list (soft delete), and can be re-approved via Approve which sets both flags true.</t>
        </is>
      </c>
      <c r="J45" s="15" t="inlineStr">
        <is>
          <t>POST /api/auth/login</t>
        </is>
      </c>
      <c r="K45" s="11" t="inlineStr"/>
      <c r="L45" s="12" t="inlineStr">
        <is>
          <t>Not Executed</t>
        </is>
      </c>
      <c r="M45" s="12" t="inlineStr"/>
      <c r="N45" s="12" t="inlineStr"/>
      <c r="O45" s="12" t="inlineStr"/>
      <c r="P45" s="11" t="inlineStr"/>
    </row>
    <row r="46" ht="60" customHeight="1">
      <c r="A46" s="14" t="inlineStr">
        <is>
          <t>USR-045</t>
        </is>
      </c>
      <c r="B46" s="15" t="inlineStr">
        <is>
          <t>Role &amp; Permission Integrity</t>
        </is>
      </c>
      <c r="C46" s="15" t="inlineStr">
        <is>
          <t>Re-approving a rejected user restores access</t>
        </is>
      </c>
      <c r="D46" s="16" t="inlineStr">
        <is>
          <t>Medium</t>
        </is>
      </c>
      <c r="E46" s="15" t="inlineStr">
        <is>
          <t>Data Integrity</t>
        </is>
      </c>
      <c r="F46" s="15" t="inlineStr">
        <is>
          <t>Admin logged in; a rejected user exists.</t>
        </is>
      </c>
      <c r="G46" s="15" t="inlineStr">
        <is>
          <t>1. Filter the list to 'Pending Approval' (rejected users appear here too).
2. Click 'Approve' on the rejected user.
3. Then log in as that user.</t>
        </is>
      </c>
      <c r="H46" s="15" t="inlineStr">
        <is>
          <t>Rejected user</t>
        </is>
      </c>
      <c r="I46" s="15" t="inlineStr">
        <is>
          <t>approve_user sets is_approved=true and is_active=true; the user can now log in. Confirms reject is reversible.</t>
        </is>
      </c>
      <c r="J46" s="15" t="inlineStr">
        <is>
          <t>POST /api/users/{id}/approve, POST /api/auth/login</t>
        </is>
      </c>
      <c r="K46" s="11" t="inlineStr"/>
      <c r="L46" s="12" t="inlineStr">
        <is>
          <t>Not Executed</t>
        </is>
      </c>
      <c r="M46" s="12" t="inlineStr"/>
      <c r="N46" s="12" t="inlineStr"/>
      <c r="O46" s="12" t="inlineStr"/>
      <c r="P46" s="11" t="inlineStr"/>
    </row>
    <row r="47" ht="150" customHeight="1">
      <c r="A47" s="8" t="inlineStr">
        <is>
          <t>USR-046</t>
        </is>
      </c>
      <c r="B47" s="9" t="inlineStr">
        <is>
          <t>Security / Self-Protection</t>
        </is>
      </c>
      <c r="C47" s="9" t="inlineStr">
        <is>
          <t>Admin deactivating their own account (no self-guard) — session effect</t>
        </is>
      </c>
      <c r="D47" s="10" t="inlineStr">
        <is>
          <t>High</t>
        </is>
      </c>
      <c r="E47" s="9" t="inlineStr">
        <is>
          <t>Edge Case</t>
        </is>
      </c>
      <c r="F47" s="9" t="inlineStr">
        <is>
          <t>Logged in as admin_qa, with a SECOND admin available for recovery.</t>
        </is>
      </c>
      <c r="G47" s="9" t="inlineStr">
        <is>
          <t>1. As admin_qa, find your own row in /users.
2. Click 'Deactivate' on yourself; observe response.
3. Attempt to keep using the app, then log out and try to log back in.</t>
        </is>
      </c>
      <c r="H47" s="9" t="inlineStr">
        <is>
          <t>Self: admin_qa@saranam.in</t>
        </is>
      </c>
      <c r="I47" s="9" t="inlineStr">
        <is>
          <t>DEFECT CANDIDATE: backend has NO guard preventing self-deactivation — the toggle succeeds (200, is_active=false). The current access token still works until expiry/refresh, but on next refresh (refresh_access_token checks is_active) and on re-login the admin is locked out with 'account deactivated'. Recovery requires the second admin to reactivate. Verify whether business expects self-deactivation to be blocked.</t>
        </is>
      </c>
      <c r="J47" s="9" t="inlineStr">
        <is>
          <t>PUT /api/users/{id}/toggle-status</t>
        </is>
      </c>
      <c r="K47" s="11" t="inlineStr"/>
      <c r="L47" s="12" t="inlineStr">
        <is>
          <t>Not Executed</t>
        </is>
      </c>
      <c r="M47" s="12" t="inlineStr"/>
      <c r="N47" s="12" t="inlineStr"/>
      <c r="O47" s="12" t="inlineStr"/>
      <c r="P47" s="11" t="inlineStr"/>
    </row>
    <row r="48" ht="120" customHeight="1">
      <c r="A48" s="8" t="inlineStr">
        <is>
          <t>USR-047</t>
        </is>
      </c>
      <c r="B48" s="9" t="inlineStr">
        <is>
          <t>Security / Self-Protection</t>
        </is>
      </c>
      <c r="C48" s="9" t="inlineStr">
        <is>
          <t>Admin demoting their own role (no self-guard / no last-admin protection)</t>
        </is>
      </c>
      <c r="D48" s="10" t="inlineStr">
        <is>
          <t>High</t>
        </is>
      </c>
      <c r="E48" s="9" t="inlineStr">
        <is>
          <t>Edge Case</t>
        </is>
      </c>
      <c r="F48" s="9" t="inlineStr">
        <is>
          <t>Logged in as admin; a second admin exists for recovery.</t>
        </is>
      </c>
      <c r="G48" s="9" t="inlineStr">
        <is>
          <t>1. Edit your own row; change Role to Viewer; Save.
2. Refresh token / re-login and attempt to open /users.</t>
        </is>
      </c>
      <c r="H48" s="9" t="inlineStr">
        <is>
          <t>Self role: admin -&gt; viewer</t>
        </is>
      </c>
      <c r="I48" s="9" t="inlineStr">
        <is>
          <t>DEFECT CANDIDATE: no guard blocks self-demotion or demotion of the LAST admin. The PUT succeeds; after re-login the (now viewer) account loses Users access. If they were the only admin, the system could be left with NO admin. Recommend a backend guard preventing demotion/deactivation of the last active admin. Record as a finding.</t>
        </is>
      </c>
      <c r="J48" s="9" t="inlineStr">
        <is>
          <t>PUT /api/users/{id}</t>
        </is>
      </c>
      <c r="K48" s="11" t="inlineStr"/>
      <c r="L48" s="12" t="inlineStr">
        <is>
          <t>Not Executed</t>
        </is>
      </c>
      <c r="M48" s="12" t="inlineStr"/>
      <c r="N48" s="12" t="inlineStr"/>
      <c r="O48" s="12" t="inlineStr"/>
      <c r="P48" s="11" t="inlineStr"/>
    </row>
    <row r="49" ht="105" customHeight="1">
      <c r="A49" s="14" t="inlineStr">
        <is>
          <t>USR-048</t>
        </is>
      </c>
      <c r="B49" s="15" t="inlineStr">
        <is>
          <t>API &amp; Data Integrity</t>
        </is>
      </c>
      <c r="C49" s="15" t="inlineStr">
        <is>
          <t>GET /api/users response shape and excluded sensitive fields</t>
        </is>
      </c>
      <c r="D49" s="16" t="inlineStr">
        <is>
          <t>Medium</t>
        </is>
      </c>
      <c r="E49" s="15" t="inlineStr">
        <is>
          <t>API</t>
        </is>
      </c>
      <c r="F49" s="15" t="inlineStr">
        <is>
          <t>Admin token; DevTools/Network open.</t>
        </is>
      </c>
      <c r="G49" s="15" t="inlineStr">
        <is>
          <t>1. Trigger GET /api/users (load /users).
2. Inspect the JSON response.</t>
        </is>
      </c>
      <c r="H49" s="15" t="inlineStr">
        <is>
          <t>N/A</t>
        </is>
      </c>
      <c r="I49" s="15" t="inlineStr">
        <is>
          <t>Response: {users:[...], total, page (1), per_page (50), message}. Each user object EXCLUDES password_hash and api_key_hash (to_dict strips them) and includes id, email, full_name, role, is_active, is_approved, created_at, updated_at. Confirm no password/hash leakage.</t>
        </is>
      </c>
      <c r="J49" s="15" t="inlineStr">
        <is>
          <t>GET /api/users</t>
        </is>
      </c>
      <c r="K49" s="11" t="inlineStr"/>
      <c r="L49" s="12" t="inlineStr">
        <is>
          <t>Not Executed</t>
        </is>
      </c>
      <c r="M49" s="12" t="inlineStr"/>
      <c r="N49" s="12" t="inlineStr"/>
      <c r="O49" s="12" t="inlineStr"/>
      <c r="P49" s="11" t="inlineStr"/>
    </row>
    <row r="50" ht="60" customHeight="1">
      <c r="A50" s="14" t="inlineStr">
        <is>
          <t>USR-049</t>
        </is>
      </c>
      <c r="B50" s="15" t="inlineStr">
        <is>
          <t>API &amp; Data Integrity</t>
        </is>
      </c>
      <c r="C50" s="15" t="inlineStr">
        <is>
          <t>GET single user — valid UUID vs not-found</t>
        </is>
      </c>
      <c r="D50" s="18" t="inlineStr">
        <is>
          <t>Low</t>
        </is>
      </c>
      <c r="E50" s="15" t="inlineStr">
        <is>
          <t>API</t>
        </is>
      </c>
      <c r="F50" s="15" t="inlineStr">
        <is>
          <t>Admin token; a known user UUID.</t>
        </is>
      </c>
      <c r="G50" s="15" t="inlineStr">
        <is>
          <t>1. Call GET /api/users/{validId}.
2. Call GET /api/users/00000000-0000-0000-0000-000000000000 (nonexistent).</t>
        </is>
      </c>
      <c r="H50" s="15" t="inlineStr">
        <is>
          <t>valid UUID; nonexistent UUID</t>
        </is>
      </c>
      <c r="I50" s="15" t="inlineStr">
        <is>
          <t>Valid -&gt; 200 {user, message}. Nonexistent -&gt; 404 {message:'User not found', error:'user_not_found'}. (No direct UI caller; API-level coverage.)</t>
        </is>
      </c>
      <c r="J50" s="15" t="inlineStr">
        <is>
          <t>GET /api/users/{id}</t>
        </is>
      </c>
      <c r="K50" s="11" t="inlineStr"/>
      <c r="L50" s="12" t="inlineStr">
        <is>
          <t>Not Executed</t>
        </is>
      </c>
      <c r="M50" s="12" t="inlineStr"/>
      <c r="N50" s="12" t="inlineStr"/>
      <c r="O50" s="12" t="inlineStr"/>
      <c r="P50" s="11" t="inlineStr"/>
    </row>
    <row r="51" ht="105" customHeight="1">
      <c r="A51" s="14" t="inlineStr">
        <is>
          <t>USR-050</t>
        </is>
      </c>
      <c r="B51" s="15" t="inlineStr">
        <is>
          <t>API &amp; Data Integrity</t>
        </is>
      </c>
      <c r="C51" s="15" t="inlineStr">
        <is>
          <t>GET /api/users/pending/count matches header badge logic</t>
        </is>
      </c>
      <c r="D51" s="18" t="inlineStr">
        <is>
          <t>Low</t>
        </is>
      </c>
      <c r="E51" s="15" t="inlineStr">
        <is>
          <t>API</t>
        </is>
      </c>
      <c r="F51" s="15" t="inlineStr">
        <is>
          <t>Admin token; N pending users (is_approved=false AND is_active=true).</t>
        </is>
      </c>
      <c r="G51" s="15" t="inlineStr">
        <is>
          <t>1. Call GET /api/users/pending/count.
2. Compare with the header 'pending approval' badge (computed client-side from is_approved=false).</t>
        </is>
      </c>
      <c r="H51" s="15" t="inlineStr">
        <is>
          <t>N/A</t>
        </is>
      </c>
      <c r="I51" s="15" t="inlineStr">
        <is>
          <t>Endpoint returns {count} = users with is_approved=false AND is_active=true. NOTE mismatch: the header badge counts ALL is_approved=false (including rejected users where is_active=false), so the badge can exceed the API count. Flag as a data-integrity/consistency observation.</t>
        </is>
      </c>
      <c r="J51" s="15" t="inlineStr">
        <is>
          <t>GET /api/users/pending/count</t>
        </is>
      </c>
      <c r="K51" s="11" t="inlineStr"/>
      <c r="L51" s="12" t="inlineStr">
        <is>
          <t>Not Executed</t>
        </is>
      </c>
      <c r="M51" s="12" t="inlineStr"/>
      <c r="N51" s="12" t="inlineStr"/>
      <c r="O51" s="12" t="inlineStr"/>
      <c r="P51" s="11" t="inlineStr"/>
    </row>
    <row r="52" ht="90" customHeight="1">
      <c r="A52" s="14" t="inlineStr">
        <is>
          <t>USR-051</t>
        </is>
      </c>
      <c r="B52" s="15" t="inlineStr">
        <is>
          <t>API &amp; Data Integrity</t>
        </is>
      </c>
      <c r="C52" s="15" t="inlineStr">
        <is>
          <t>Action on a non-existent/invalid user id returns handled 400/404</t>
        </is>
      </c>
      <c r="D52" s="16" t="inlineStr">
        <is>
          <t>Medium</t>
        </is>
      </c>
      <c r="E52" s="15" t="inlineStr">
        <is>
          <t>Negative</t>
        </is>
      </c>
      <c r="F52" s="15" t="inlineStr">
        <is>
          <t>Admin token.</t>
        </is>
      </c>
      <c r="G52" s="15" t="inlineStr">
        <is>
          <t>1. Call POST /api/users/{badId}/approve.
2. Call PUT /api/users/{badId}/toggle-status.
3. Call PUT /api/users/{badId} with a valid body.
4. Inspect responses.</t>
        </is>
      </c>
      <c r="H52" s="15" t="inlineStr">
        <is>
          <t>badId = nonexistent or malformed UUID</t>
        </is>
      </c>
      <c r="I52" s="15" t="inlineStr">
        <is>
          <t>approve/reject/toggle/update with an unknown id return 400 with the relevant error key (approve_failed/toggle_failed/update_failed) and message 'User not found' (caught in service). A malformed UUID should not crash with a 500 — record if it does.</t>
        </is>
      </c>
      <c r="J52" s="15" t="inlineStr">
        <is>
          <t>POST /api/users/{id}/approve, PUT /api/users/{id}, PUT /api/users/{id}/toggle-status</t>
        </is>
      </c>
      <c r="K52" s="11" t="inlineStr"/>
      <c r="L52" s="12" t="inlineStr">
        <is>
          <t>Not Executed</t>
        </is>
      </c>
      <c r="M52" s="12" t="inlineStr"/>
      <c r="N52" s="12" t="inlineStr"/>
      <c r="O52" s="12" t="inlineStr"/>
      <c r="P52" s="11" t="inlineStr"/>
    </row>
    <row r="53" ht="135" customHeight="1">
      <c r="A53" s="8" t="inlineStr">
        <is>
          <t>USR-052</t>
        </is>
      </c>
      <c r="B53" s="9" t="inlineStr">
        <is>
          <t>Build / Coverage Gaps</t>
        </is>
      </c>
      <c r="C53" s="9" t="inlineStr">
        <is>
          <t>No admin-initiated Create User and no phone field on Users screen</t>
        </is>
      </c>
      <c r="D53" s="13" t="inlineStr">
        <is>
          <t>Medium</t>
        </is>
      </c>
      <c r="E53" s="9" t="inlineStr">
        <is>
          <t>Edge Case</t>
        </is>
      </c>
      <c r="F53" s="9" t="inlineStr">
        <is>
          <t>Admin logged in on /users.</t>
        </is>
      </c>
      <c r="G53" s="9" t="inlineStr">
        <is>
          <t>1. Inspect the Users screen for any 'Add User' / 'Create User' / 'Invite' control.
2. Open the Edit modal and inspect for a phone (+91) field or password/reset control.
3. Confirm the only path to create a user is public self-registration at /register.</t>
        </is>
      </c>
      <c r="H53" s="9" t="inlineStr">
        <is>
          <t>N/A</t>
        </is>
      </c>
      <c r="I53" s="9" t="inlineStr">
        <is>
          <t>FINDING: there is NO Create/Add-User button on /users — new users can only self-register at /register (then be approved). The Edit modal has NO phone, NO status toggle, NO password/temp-password controls. Confirm with the client whether admin-side user creation and phone capture are required for go-live; otherwise mark these as known scope gaps.</t>
        </is>
      </c>
      <c r="J53" s="9" t="inlineStr">
        <is>
          <t>N/A</t>
        </is>
      </c>
      <c r="K53" s="11" t="inlineStr"/>
      <c r="L53" s="12" t="inlineStr">
        <is>
          <t>Not Executed</t>
        </is>
      </c>
      <c r="M53" s="12" t="inlineStr"/>
      <c r="N53" s="12" t="inlineStr"/>
      <c r="O53" s="12" t="inlineStr"/>
      <c r="P53" s="11" t="inlineStr"/>
    </row>
  </sheetData>
  <autoFilter ref="A1:P53"/>
  <conditionalFormatting sqref="L2:L5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Executed"</formula>
    </cfRule>
  </conditionalFormatting>
  <dataValidations count="2">
    <dataValidation sqref="L2:L53" showDropDown="0" showInputMessage="0" showErrorMessage="0" allowBlank="1" type="list">
      <formula1>"Not Executed,Pass,Fail,Blocked,N/A"</formula1>
    </dataValidation>
    <dataValidation sqref="M2:M53" showDropDown="0" showInputMessage="0" showErrorMessage="0" allowBlank="1"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2026-06-01T12:52:17Z</dcterms:created>
  <dcterms:modified xmlns:dcterms="http://purl.org/dc/terms/" xmlns:xsi="http://www.w3.org/2001/XMLSchema-instance" xsi:type="dcterms:W3CDTF">2026-06-01T12:52:17Z</dcterms:modified>
</cp:coreProperties>
</file>