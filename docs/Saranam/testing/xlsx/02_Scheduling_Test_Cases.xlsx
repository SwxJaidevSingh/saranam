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Info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Cases'!$A$1:$P$119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9C0006"/>
      <sz val="9"/>
    </font>
    <font>
      <b val="1"/>
      <color rgb="009C6500"/>
      <sz val="9"/>
    </font>
    <font>
      <b val="1"/>
      <color rgb="00375623"/>
      <sz val="9"/>
    </font>
    <font>
      <b val="1"/>
      <color rgb="00FFFFFF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5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Scheduling  —  Manual Test Plan</t>
        </is>
      </c>
    </row>
    <row r="2" ht="18" customHeight="1">
      <c r="A2" s="2" t="inlineStr">
        <is>
          <t>Platform</t>
        </is>
      </c>
      <c r="B2" s="3" t="inlineStr">
        <is>
          <t>Saranam India Health Care  (https://saranam.fieldintel.ai)</t>
        </is>
      </c>
    </row>
    <row r="3" ht="18" customHeight="1">
      <c r="A3" s="2" t="inlineStr">
        <is>
          <t>Module Code</t>
        </is>
      </c>
      <c r="B3" s="3" t="inlineStr">
        <is>
          <t>SCH</t>
        </is>
      </c>
    </row>
    <row r="4" ht="18" customHeight="1">
      <c r="A4" s="2" t="inlineStr">
        <is>
          <t>Document Version</t>
        </is>
      </c>
      <c r="B4" s="3" t="inlineStr">
        <is>
          <t>1.0</t>
        </is>
      </c>
    </row>
    <row r="5" ht="18" customHeight="1">
      <c r="A5" s="2" t="inlineStr">
        <is>
          <t>Total Test Cases</t>
        </is>
      </c>
      <c r="B5" s="3" t="inlineStr">
        <is>
          <t>118</t>
        </is>
      </c>
    </row>
    <row r="6" ht="18" customHeight="1">
      <c r="A6" s="2" t="inlineStr">
        <is>
          <t>Test Type</t>
        </is>
      </c>
      <c r="B6" s="3" t="inlineStr">
        <is>
          <t>Manual</t>
        </is>
      </c>
    </row>
    <row r="7" ht="18" customHeight="1">
      <c r="A7" s="2" t="inlineStr">
        <is>
          <t>Prepared / Reviewed</t>
        </is>
      </c>
      <c r="B7" s="3" t="inlineStr">
        <is>
          <t>____________________     Date: ____________</t>
        </is>
      </c>
    </row>
    <row r="9" ht="26" customHeight="1">
      <c r="A9" s="1" t="inlineStr">
        <is>
          <t>1. Scope</t>
        </is>
      </c>
    </row>
    <row r="10" ht="105" customHeight="1">
      <c r="A10" s="2" t="inlineStr">
        <is>
          <t>Summary</t>
        </is>
      </c>
      <c r="B10" s="3" t="inlineStr">
        <is>
          <t>Go-live manual test pack for the Saranam India Health Care Scheduling module covering the weekly schedule lifecycle (draft -&gt; submitted -&gt; approved/communicated -&gt; in_progress -&gt; review_ready -&gt; archived), weekly planning board with drag-and-drop visit assignment, route maps, vehicles/clusters/config settings, kit readiness, deviations, on-call roster, audit log, alerts, and the clinician My Visits / Today screens. Every screen, control, dialog, filter, map element and backend API call derived from the code is exercised, including validations, negative paths, empty/loading states, permissions/session and cross-module data integrity.</t>
        </is>
      </c>
    </row>
    <row r="11" ht="160" customHeight="1">
      <c r="A11" s="2" t="inlineStr">
        <is>
          <t>In Scope</t>
        </is>
      </c>
      <c r="B11" s="3" t="inlineStr">
        <is>
          <t>• Schedule Calendar list view with status tabs (All/Draft/Submitted/Active/Archived) and ?status=pending deep link
• New Schedule and Quick Create flows + delete schedule
• Weekly Planning Board: patient pool sidebar, day columns, Add Patient modal, drag-and-drop move/reorder, route optimize, smart suggestions, team assignments, view toggles, route map
• Schedule lifecycle state transitions: submit / approve / send-back / activate / end-week-review / complete-review
• Validation on submit (warnings), capacity, time conflicts, travel warnings
• Schedule Settings: visit days, planning/approval deadlines, vehicle CRUD + add-hospital, cluster config
• Active Schedule Visits: per-day visit tracking (complete/missed/cancel), deviation reporting, route map, team &amp; route segments
• My Visits (week) + acknowledge, Today's Visits (start/complete/missed)
• Kit Readiness per-day checklist, Deviation Report, Review Dashboard metrics, Audit Log, On-Call Roster CRUD, Unscheduled Alerts
• ScheduleDayMap rendering (markers, routes, hospital pins, zone overlay)
• All scheduling/* and visit API calls, auth/401 refresh handling
• PDF export (schedule PDF, weekly report)</t>
        </is>
      </c>
    </row>
    <row r="12" ht="160" customHeight="1">
      <c r="A12" s="2" t="inlineStr">
        <is>
          <t>Out of Scope</t>
        </is>
      </c>
      <c r="B12" s="3" t="inlineStr">
        <is>
          <t>• Patient registration, demographics and UHID generation (covered by Patients module)
• Clinical assessment forms / AI summaries opened via Start Visit (covered by Visits module)
• Inventory, IPD/OPD, teleconsult, physiotherapy, homecare modules
• SMS/WhatsApp/email gateway delivery internals (only that approve triggers notification calls is verified)
• Backend route-optimization algorithm correctness beyond observable UI behaviour
• Zone wedge / pin-code mapping accuracy (pending client data per project memory)</t>
        </is>
      </c>
    </row>
    <row r="14" ht="26" customHeight="1">
      <c r="A14" s="1" t="inlineStr">
        <is>
          <t>2. Roles &amp; Access</t>
        </is>
      </c>
    </row>
    <row r="15" ht="135" customHeight="1">
      <c r="A15" s="2" t="inlineStr">
        <is>
          <t>Access</t>
        </is>
      </c>
      <c r="B15" s="3" t="inlineStr">
        <is>
          <t>All scheduling routes are nested under &lt;ProtectedRoute&gt;&lt;DashboardLayout/&gt;&lt;/ProtectedRoute&gt; in App.jsx with NO per-route requiredRole/requiredPermission attribute. Therefore any authenticated user (valid access_token in localStorage) can open every scheduling screen and call every scheduling endpoint; an unauthenticated user is redirected to /login by ProtectedRoute. There is no UI-level approver/planner role separation - the same user can submit AND approve a schedule (governance is by convention, not enforced). Every backend endpoint is decorated @jwt_required(); a missing/expired token returns 401 and the axios interceptor attempts a refresh, falling back to redirect to /login on failure. Note for testers: confirm with the client whether self-approval (planner approving own submission) should be blocked - currently it is allowed.</t>
        </is>
      </c>
    </row>
    <row r="17" ht="26" customHeight="1">
      <c r="A17" s="1" t="inlineStr">
        <is>
          <t>3. Screens &amp; Routes</t>
        </is>
      </c>
    </row>
    <row r="18" ht="18" customHeight="1">
      <c r="A18" s="2" t="inlineStr">
        <is>
          <t>Schedule Calendar (list)</t>
        </is>
      </c>
      <c r="B18" s="3" t="inlineStr">
        <is>
          <t>/saranam/scheduling</t>
        </is>
      </c>
    </row>
    <row r="19" ht="18" customHeight="1">
      <c r="A19" s="2" t="inlineStr">
        <is>
          <t>Drafts &amp; Approvals (Calendar, Submitted tab)</t>
        </is>
      </c>
      <c r="B19" s="3" t="inlineStr">
        <is>
          <t>/saranam/scheduling?status=pending</t>
        </is>
      </c>
    </row>
    <row r="20" ht="18" customHeight="1">
      <c r="A20" s="2" t="inlineStr">
        <is>
          <t>Weekly Planning Board</t>
        </is>
      </c>
      <c r="B20" s="3" t="inlineStr">
        <is>
          <t>/saranam/scheduling/board/:scheduleId</t>
        </is>
      </c>
    </row>
    <row r="21" ht="18" customHeight="1">
      <c r="A21" s="2" t="inlineStr">
        <is>
          <t>Schedule Settings</t>
        </is>
      </c>
      <c r="B21" s="3" t="inlineStr">
        <is>
          <t>/saranam/scheduling/settings</t>
        </is>
      </c>
    </row>
    <row r="22" ht="18" customHeight="1">
      <c r="A22" s="2" t="inlineStr">
        <is>
          <t>My Visits (week)</t>
        </is>
      </c>
      <c r="B22" s="3" t="inlineStr">
        <is>
          <t>/saranam/scheduling/my-visits</t>
        </is>
      </c>
    </row>
    <row r="23" ht="18" customHeight="1">
      <c r="A23" s="2" t="inlineStr">
        <is>
          <t>Today's Visits</t>
        </is>
      </c>
      <c r="B23" s="3" t="inlineStr">
        <is>
          <t>/saranam/scheduling/my-visits/today</t>
        </is>
      </c>
    </row>
    <row r="24" ht="18" customHeight="1">
      <c r="A24" s="2" t="inlineStr">
        <is>
          <t>Active Schedule Visits</t>
        </is>
      </c>
      <c r="B24" s="3" t="inlineStr">
        <is>
          <t>/saranam/scheduling/active-visits</t>
        </is>
      </c>
    </row>
    <row r="25" ht="18" customHeight="1">
      <c r="A25" s="2" t="inlineStr">
        <is>
          <t>Deviation Report</t>
        </is>
      </c>
      <c r="B25" s="3" t="inlineStr">
        <is>
          <t>/saranam/scheduling/deviation-report/:scheduleId</t>
        </is>
      </c>
    </row>
    <row r="26" ht="18" customHeight="1">
      <c r="A26" s="2" t="inlineStr">
        <is>
          <t>Review Dashboard</t>
        </is>
      </c>
      <c r="B26" s="3" t="inlineStr">
        <is>
          <t>/saranam/scheduling/review-dashboard/:scheduleId</t>
        </is>
      </c>
    </row>
    <row r="27" ht="18" customHeight="1">
      <c r="A27" s="2" t="inlineStr">
        <is>
          <t>Kit Readiness</t>
        </is>
      </c>
      <c r="B27" s="3" t="inlineStr">
        <is>
          <t>/saranam/scheduling/kit/:scheduleId</t>
        </is>
      </c>
    </row>
    <row r="28" ht="18" customHeight="1">
      <c r="A28" s="2" t="inlineStr">
        <is>
          <t>Audit Log</t>
        </is>
      </c>
      <c r="B28" s="3" t="inlineStr">
        <is>
          <t>/saranam/scheduling/audit/:scheduleId</t>
        </is>
      </c>
    </row>
    <row r="29" ht="18" customHeight="1">
      <c r="A29" s="2" t="inlineStr">
        <is>
          <t>On-Call Roster</t>
        </is>
      </c>
      <c r="B29" s="3" t="inlineStr">
        <is>
          <t>/saranam/scheduling/on-call</t>
        </is>
      </c>
    </row>
    <row r="30" ht="18" customHeight="1">
      <c r="A30" s="2" t="inlineStr">
        <is>
          <t>Unscheduled Alerts</t>
        </is>
      </c>
      <c r="B30" s="3" t="inlineStr">
        <is>
          <t>/saranam/scheduling/alerts</t>
        </is>
      </c>
    </row>
    <row r="32" ht="26" customHeight="1">
      <c r="A32" s="1" t="inlineStr">
        <is>
          <t>4. API Endpoints</t>
        </is>
      </c>
    </row>
    <row r="33" ht="18" customHeight="1">
      <c r="A33" s="2" t="inlineStr">
        <is>
          <t>GET  /api/saranam/scheduling/config</t>
        </is>
      </c>
      <c r="B33" s="3" t="inlineStr">
        <is>
          <t>Load schedule configuration (visit days, deadlines, capacity, thresholds)</t>
        </is>
      </c>
    </row>
    <row r="34" ht="18" customHeight="1">
      <c r="A34" s="2" t="inlineStr">
        <is>
          <t>PUT  /api/saranam/scheduling/config</t>
        </is>
      </c>
      <c r="B34" s="3" t="inlineStr">
        <is>
          <t>Update schedule configuration</t>
        </is>
      </c>
    </row>
    <row r="35" ht="18" customHeight="1">
      <c r="A35" s="2" t="inlineStr">
        <is>
          <t>GET  /api/saranam/scheduling/clusters</t>
        </is>
      </c>
      <c r="B35" s="3" t="inlineStr">
        <is>
          <t>List geographic clusters</t>
        </is>
      </c>
    </row>
    <row r="36" ht="18" customHeight="1">
      <c r="A36" s="2" t="inlineStr">
        <is>
          <t>POST  /api/saranam/scheduling/clusters</t>
        </is>
      </c>
      <c r="B36" s="3" t="inlineStr">
        <is>
          <t>Create cluster (name required -&gt; 400 if missing)</t>
        </is>
      </c>
    </row>
    <row r="37" ht="18" customHeight="1">
      <c r="A37" s="2" t="inlineStr">
        <is>
          <t>PUT  /api/saranam/scheduling/clusters/{id}</t>
        </is>
      </c>
      <c r="B37" s="3" t="inlineStr">
        <is>
          <t>Update cluster (404 if not found)</t>
        </is>
      </c>
    </row>
    <row r="38" ht="18" customHeight="1">
      <c r="A38" s="2" t="inlineStr">
        <is>
          <t>DELETE  /api/saranam/scheduling/clusters/{id}</t>
        </is>
      </c>
      <c r="B38" s="3" t="inlineStr">
        <is>
          <t>Deactivate cluster (404 if not found)</t>
        </is>
      </c>
    </row>
    <row r="39" ht="18" customHeight="1">
      <c r="A39" s="2" t="inlineStr">
        <is>
          <t>GET  /api/saranam/scheduling/vehicles</t>
        </is>
      </c>
      <c r="B39" s="3" t="inlineStr">
        <is>
          <t>List vehicles</t>
        </is>
      </c>
    </row>
    <row r="40" ht="18" customHeight="1">
      <c r="A40" s="2" t="inlineStr">
        <is>
          <t>POST  /api/saranam/scheduling/vehicles</t>
        </is>
      </c>
      <c r="B40" s="3" t="inlineStr">
        <is>
          <t>Create vehicle (name required -&gt; 400; invalid -&gt; 400 invalid_request)</t>
        </is>
      </c>
    </row>
    <row r="41" ht="18" customHeight="1">
      <c r="A41" s="2" t="inlineStr">
        <is>
          <t>PUT  /api/saranam/scheduling/vehicles/{id}</t>
        </is>
      </c>
      <c r="B41" s="3" t="inlineStr">
        <is>
          <t>Update vehicle (404 if not found)</t>
        </is>
      </c>
    </row>
    <row r="42" ht="30" customHeight="1">
      <c r="A42" s="2" t="inlineStr">
        <is>
          <t>GET  /api/saranam/scheduling/schedules</t>
        </is>
      </c>
      <c r="B42" s="3" t="inlineStr">
        <is>
          <t>List schedules (params: status, vehicle_id, week_start_date, from_date, to_date, page, per_page)</t>
        </is>
      </c>
    </row>
    <row r="43" ht="18" customHeight="1">
      <c r="A43" s="2" t="inlineStr">
        <is>
          <t>POST  /api/saranam/scheduling/schedules</t>
        </is>
      </c>
      <c r="B43" s="3" t="inlineStr">
        <is>
          <t>Create schedule (week_start_date + vehicle_id required -&gt; 400; ValueError -&gt; 400)</t>
        </is>
      </c>
    </row>
    <row r="44" ht="18" customHeight="1">
      <c r="A44" s="2" t="inlineStr">
        <is>
          <t>GET  /api/saranam/scheduling/schedules/{id}</t>
        </is>
      </c>
      <c r="B44" s="3" t="inlineStr">
        <is>
          <t>Get full schedule with days/slots/team/warnings (404 if not found)</t>
        </is>
      </c>
    </row>
    <row r="45" ht="18" customHeight="1">
      <c r="A45" s="2" t="inlineStr">
        <is>
          <t>DELETE  /api/saranam/scheduling/schedules/{id}</t>
        </is>
      </c>
      <c r="B45" s="3" t="inlineStr">
        <is>
          <t>Delete schedule (404 if not found; 400 if not deletable)</t>
        </is>
      </c>
    </row>
    <row r="46" ht="18" customHeight="1">
      <c r="A46" s="2" t="inlineStr">
        <is>
          <t>GET  /api/saranam/scheduling/schedules/{id}/validate</t>
        </is>
      </c>
      <c r="B46" s="3" t="inlineStr">
        <is>
          <t>Validate schedule, returns warnings/messages (404 if not found)</t>
        </is>
      </c>
    </row>
    <row r="47" ht="18" customHeight="1">
      <c r="A47" s="2" t="inlineStr">
        <is>
          <t>POST  /api/saranam/scheduling/schedules/{id}/submit</t>
        </is>
      </c>
      <c r="B47" s="3" t="inlineStr">
        <is>
          <t>Submit draft for approval (body note; 400 on invalid transition)</t>
        </is>
      </c>
    </row>
    <row r="48" ht="30" customHeight="1">
      <c r="A48" s="2" t="inlineStr">
        <is>
          <t>POST  /api/saranam/scheduling/schedules/{id}/approve</t>
        </is>
      </c>
      <c r="B48" s="3" t="inlineStr">
        <is>
          <t>Approve submitted schedule (body note; triggers team + patient notifications; 400 on invalid transition)</t>
        </is>
      </c>
    </row>
    <row r="49" ht="18" customHeight="1">
      <c r="A49" s="2" t="inlineStr">
        <is>
          <t>POST  /api/saranam/scheduling/schedules/{id}/send-back</t>
        </is>
      </c>
      <c r="B49" s="3" t="inlineStr">
        <is>
          <t>Send schedule back to draft (reason required -&gt; 400)</t>
        </is>
      </c>
    </row>
    <row r="50" ht="18" customHeight="1">
      <c r="A50" s="2" t="inlineStr">
        <is>
          <t>POST  /api/saranam/scheduling/schedules/{id}/activate</t>
        </is>
      </c>
      <c r="B50" s="3" t="inlineStr">
        <is>
          <t>Activate communicated schedule (400 on invalid transition)</t>
        </is>
      </c>
    </row>
    <row r="51" ht="18" customHeight="1">
      <c r="A51" s="2" t="inlineStr">
        <is>
          <t>POST  /api/saranam/scheduling/schedules/{id}/review-ready</t>
        </is>
      </c>
      <c r="B51" s="3" t="inlineStr">
        <is>
          <t>Transition in_progress -&gt; review_ready (400 on invalid transition)</t>
        </is>
      </c>
    </row>
    <row r="52" ht="18" customHeight="1">
      <c r="A52" s="2" t="inlineStr">
        <is>
          <t>POST  /api/saranam/scheduling/schedules/{id}/complete-review</t>
        </is>
      </c>
      <c r="B52" s="3" t="inlineStr">
        <is>
          <t>Complete review + archive (body review_notes; 400 on invalid transition)</t>
        </is>
      </c>
    </row>
    <row r="53" ht="18" customHeight="1">
      <c r="A53" s="2" t="inlineStr">
        <is>
          <t>PUT  /api/saranam/scheduling/days/{dayId}</t>
        </is>
      </c>
      <c r="B53" s="3" t="inlineStr">
        <is>
          <t>Update day (e.g. kit_ready, day_note) (404 if not found)</t>
        </is>
      </c>
    </row>
    <row r="54" ht="18" customHeight="1">
      <c r="A54" s="2" t="inlineStr">
        <is>
          <t>POST  /api/saranam/scheduling/days/{dayId}/slots</t>
        </is>
      </c>
      <c r="B54" s="3" t="inlineStr">
        <is>
          <t>Add patient slot to a day (patient_id required -&gt; 400; ValueError -&gt; 400)</t>
        </is>
      </c>
    </row>
    <row r="55" ht="18" customHeight="1">
      <c r="A55" s="2" t="inlineStr">
        <is>
          <t>PUT  /api/saranam/scheduling/slots/{slotId}</t>
        </is>
      </c>
      <c r="B55" s="3" t="inlineStr">
        <is>
          <t>Update slot (status/time/duration/missed_reason/cancelled_reason) (404 if not found)</t>
        </is>
      </c>
    </row>
    <row r="56" ht="18" customHeight="1">
      <c r="A56" s="2" t="inlineStr">
        <is>
          <t>POST  /api/saranam/scheduling/slots/{slotId}/move</t>
        </is>
      </c>
      <c r="B56" s="3" t="inlineStr">
        <is>
          <t>Move slot to another day (to_day_id required -&gt; 400; ValueError -&gt; 400)</t>
        </is>
      </c>
    </row>
    <row r="57" ht="18" customHeight="1">
      <c r="A57" s="2" t="inlineStr">
        <is>
          <t>DELETE  /api/saranam/scheduling/slots/{slotId}</t>
        </is>
      </c>
      <c r="B57" s="3" t="inlineStr">
        <is>
          <t>Remove patient slot (body reason; ValueError -&gt; 400)</t>
        </is>
      </c>
    </row>
    <row r="58" ht="18" customHeight="1">
      <c r="A58" s="2" t="inlineStr">
        <is>
          <t>POST  /api/saranam/scheduling/days/{dayId}/reorder</t>
        </is>
      </c>
      <c r="B58" s="3" t="inlineStr">
        <is>
          <t>Reorder slots within a day (slot_ids required -&gt; 400)</t>
        </is>
      </c>
    </row>
    <row r="59" ht="18" customHeight="1">
      <c r="A59" s="2" t="inlineStr">
        <is>
          <t>PUT  /api/saranam/scheduling/days/{dayId}/team</t>
        </is>
      </c>
      <c r="B59" s="3" t="inlineStr">
        <is>
          <t>Set team assignments for a day/vehicle (assignments required -&gt; 400; ValueError -&gt; 400)</t>
        </is>
      </c>
    </row>
    <row r="60" ht="18" customHeight="1">
      <c r="A60" s="2" t="inlineStr">
        <is>
          <t>GET  /api/saranam/scheduling/available-team</t>
        </is>
      </c>
      <c r="B60" s="3" t="inlineStr">
        <is>
          <t>List available providers (params date, role)</t>
        </is>
      </c>
    </row>
    <row r="61" ht="30" customHeight="1">
      <c r="A61" s="2" t="inlineStr">
        <is>
          <t>GET  /api/saranam/scheduling/patient-pool</t>
        </is>
      </c>
      <c r="B61" s="3" t="inlineStr">
        <is>
          <t>List patient pool (params care_status, complexity, exclude_scheduled_week, search, sort_by, page, per_page)</t>
        </is>
      </c>
    </row>
    <row r="62" ht="18" customHeight="1">
      <c r="A62" s="2" t="inlineStr">
        <is>
          <t>PUT  /api/saranam/scheduling/patient-pool/{patientId}</t>
        </is>
      </c>
      <c r="B62" s="3" t="inlineStr">
        <is>
          <t>Update patient scheduling meta (404 if meta missing)</t>
        </is>
      </c>
    </row>
    <row r="63" ht="18" customHeight="1">
      <c r="A63" s="2" t="inlineStr">
        <is>
          <t>POST  /api/saranam/scheduling/patient-pool/{patientId}/flag</t>
        </is>
      </c>
      <c r="B63" s="3" t="inlineStr">
        <is>
          <t>Flag/unflag patient (body flagged, reason) (404 if meta missing)</t>
        </is>
      </c>
    </row>
    <row r="64" ht="18" customHeight="1">
      <c r="A64" s="2" t="inlineStr">
        <is>
          <t>POST  /api/saranam/scheduling/patient-pool/recalculate-priorities</t>
        </is>
      </c>
      <c r="B64" s="3" t="inlineStr">
        <is>
          <t>Recalculate priority scores for all patients</t>
        </is>
      </c>
    </row>
    <row r="65" ht="18" customHeight="1">
      <c r="A65" s="2" t="inlineStr">
        <is>
          <t>POST  /api/saranam/scheduling/patient-pool/ensure/{patientId}</t>
        </is>
      </c>
      <c r="B65" s="3" t="inlineStr">
        <is>
          <t>Ensure scheduling meta row exists for a patient (404 if patient missing)</t>
        </is>
      </c>
    </row>
    <row r="66" ht="18" customHeight="1">
      <c r="A66" s="2" t="inlineStr">
        <is>
          <t>GET  /api/saranam/scheduling/my-schedule</t>
        </is>
      </c>
      <c r="B66" s="3" t="inlineStr">
        <is>
          <t>Get logged-in clinician's weekly schedule (param week_start_date; 404 if none)</t>
        </is>
      </c>
    </row>
    <row r="67" ht="18" customHeight="1">
      <c r="A67" s="2" t="inlineStr">
        <is>
          <t>GET  /api/saranam/scheduling/my-schedule/today</t>
        </is>
      </c>
      <c r="B67" s="3" t="inlineStr">
        <is>
          <t>Get logged-in clinician's visits for today (200 with empty payload if none)</t>
        </is>
      </c>
    </row>
    <row r="68" ht="18" customHeight="1">
      <c r="A68" s="2" t="inlineStr">
        <is>
          <t>GET  /api/saranam/scheduling/notifications</t>
        </is>
      </c>
      <c r="B68" s="3" t="inlineStr">
        <is>
          <t>List notifications (params schedule_id, unread_only, page, per_page)</t>
        </is>
      </c>
    </row>
    <row r="69" ht="18" customHeight="1">
      <c r="A69" s="2" t="inlineStr">
        <is>
          <t>GET  /api/saranam/scheduling/notifications/unread-count</t>
        </is>
      </c>
      <c r="B69" s="3" t="inlineStr">
        <is>
          <t>Get unread notification count</t>
        </is>
      </c>
    </row>
    <row r="70" ht="18" customHeight="1">
      <c r="A70" s="2" t="inlineStr">
        <is>
          <t>PUT  /api/saranam/scheduling/notifications/mark-all-read</t>
        </is>
      </c>
      <c r="B70" s="3" t="inlineStr">
        <is>
          <t>Mark all notifications read</t>
        </is>
      </c>
    </row>
    <row r="71" ht="18" customHeight="1">
      <c r="A71" s="2" t="inlineStr">
        <is>
          <t>PUT  /api/saranam/scheduling/notifications/{id}/read</t>
        </is>
      </c>
      <c r="B71" s="3" t="inlineStr">
        <is>
          <t>Mark one notification read (404 if not found)</t>
        </is>
      </c>
    </row>
    <row r="72" ht="18" customHeight="1">
      <c r="A72" s="2" t="inlineStr">
        <is>
          <t>POST  /api/saranam/scheduling/schedules/{id}/acknowledge</t>
        </is>
      </c>
      <c r="B72" s="3" t="inlineStr">
        <is>
          <t>Clinician acknowledges schedule</t>
        </is>
      </c>
    </row>
    <row r="73" ht="18" customHeight="1">
      <c r="A73" s="2" t="inlineStr">
        <is>
          <t>GET  /api/saranam/scheduling/schedules/{id}/acknowledgments</t>
        </is>
      </c>
      <c r="B73" s="3" t="inlineStr">
        <is>
          <t>List acknowledgments for a schedule</t>
        </is>
      </c>
    </row>
    <row r="74" ht="18" customHeight="1">
      <c r="A74" s="2" t="inlineStr">
        <is>
          <t>GET  /api/saranam/scheduling/schedules/{id}/review</t>
        </is>
      </c>
      <c r="B74" s="3" t="inlineStr">
        <is>
          <t>Get review metrics for a schedule (404 if not found)</t>
        </is>
      </c>
    </row>
    <row r="75" ht="18" customHeight="1">
      <c r="A75" s="2" t="inlineStr">
        <is>
          <t>POST  /api/saranam/scheduling/days/{dayId}/deviations</t>
        </is>
      </c>
      <c r="B75" s="3" t="inlineStr">
        <is>
          <t>Create deviation (deviation_type + description required -&gt; 400)</t>
        </is>
      </c>
    </row>
    <row r="76" ht="18" customHeight="1">
      <c r="A76" s="2" t="inlineStr">
        <is>
          <t>GET  /api/saranam/scheduling/schedules/{id}/deviations</t>
        </is>
      </c>
      <c r="B76" s="3" t="inlineStr">
        <is>
          <t>List deviations for a schedule (404 if not found)</t>
        </is>
      </c>
    </row>
    <row r="77" ht="18" customHeight="1">
      <c r="A77" s="2" t="inlineStr">
        <is>
          <t>GET  /api/saranam/scheduling/schedules/{id}/export-data</t>
        </is>
      </c>
      <c r="B77" s="3" t="inlineStr">
        <is>
          <t>Get decrypted full schedule data for PDF export (404 if not found)</t>
        </is>
      </c>
    </row>
    <row r="78" ht="18" customHeight="1">
      <c r="A78" s="2" t="inlineStr">
        <is>
          <t>GET  /api/saranam/scheduling/schedules/{id}/audit-log</t>
        </is>
      </c>
      <c r="B78" s="3" t="inlineStr">
        <is>
          <t>Get audit log (params action, page, per_page)</t>
        </is>
      </c>
    </row>
    <row r="79" ht="18" customHeight="1">
      <c r="A79" s="2" t="inlineStr">
        <is>
          <t>GET  /api/saranam/scheduling/on-call</t>
        </is>
      </c>
      <c r="B79" s="3" t="inlineStr">
        <is>
          <t>Get on-call roster (param week_start_date)</t>
        </is>
      </c>
    </row>
    <row r="80" ht="18" customHeight="1">
      <c r="A80" s="2" t="inlineStr">
        <is>
          <t>POST  /api/saranam/scheduling/on-call</t>
        </is>
      </c>
      <c r="B80" s="3" t="inlineStr">
        <is>
          <t>Create on-call roster entry</t>
        </is>
      </c>
    </row>
    <row r="81" ht="18" customHeight="1">
      <c r="A81" s="2" t="inlineStr">
        <is>
          <t>PUT  /api/saranam/scheduling/on-call/{id}</t>
        </is>
      </c>
      <c r="B81" s="3" t="inlineStr">
        <is>
          <t>Update on-call roster entry (404 if not found)</t>
        </is>
      </c>
    </row>
    <row r="82" ht="18" customHeight="1">
      <c r="A82" s="2" t="inlineStr">
        <is>
          <t>DELETE  /api/saranam/scheduling/on-call/{id}</t>
        </is>
      </c>
      <c r="B82" s="3" t="inlineStr">
        <is>
          <t>Delete on-call roster entry (404 if not found)</t>
        </is>
      </c>
    </row>
    <row r="83" ht="18" customHeight="1">
      <c r="A83" s="2" t="inlineStr">
        <is>
          <t>GET  /api/saranam/scheduling/alerts/unscheduled</t>
        </is>
      </c>
      <c r="B83" s="3" t="inlineStr">
        <is>
          <t>List unscheduled/overdue patient alerts (param week_start_date)</t>
        </is>
      </c>
    </row>
    <row r="84" ht="18" customHeight="1">
      <c r="A84" s="2" t="inlineStr">
        <is>
          <t>POST  /api/auth/refresh</t>
        </is>
      </c>
      <c r="B84" s="3" t="inlineStr">
        <is>
          <t>Refresh access token on 401 (axios response interceptor)</t>
        </is>
      </c>
    </row>
    <row r="86" ht="26" customHeight="1">
      <c r="A86" s="1" t="inlineStr">
        <is>
          <t>5. Test Data / Preconditions</t>
        </is>
      </c>
    </row>
    <row r="87" ht="160" customHeight="1">
      <c r="A87" s="2" t="inlineStr">
        <is>
          <t>Setup</t>
        </is>
      </c>
      <c r="B87" s="3" t="inlineStr">
        <is>
          <t>• Valid login credentials for an authenticated Saranam user (token stored in localStorage as access_token + refresh_token)
• At least one Vehicle configured in Settings (e.g. 'Saranam Van 1', reg KA-01-AB-1234, base hospital KMIO) - required to create any schedule
• A second Vehicle (e.g. 'Saranam Van 2', base KCGH) to test multi-vehicle grouping, suggestions and map colours
• 20+ patients in the pool with mix of: BSC/non-BSC, Onco/Non-Onco, with GPS lat/lng, with address-only (no GPS), is_new=true, days_since_last_visit values 0/22/35 (for approaching/overdue badges), geographic_cluster set to North/South/East/West/Central
• At least one patient with NO GPS and NO address (to test map 'without location &amp; address' state)
• Several providers/clinicians with specializations Physician, Nursing, Counselor, Physiotherapy, Driver
• One DRAFT schedule (with days/slots) for board, submit, delete, audit tests
• One SUBMITTED schedule for approve/send-back tests
• One COMMUNICATED schedule for Activate test
• One IN_PROGRESS / active schedule with slots for Active Visits, kit, deviation tests
• One REVIEW_READY schedule for Review Dashboard / complete-review test
• Known invalid scheduleId GUID (e.g. 00000000-0000-0000-0000-000000000000) and a malformed non-GUID id for negative URL tests
• Test dates around June 2026 (week start Mon 2026-06-01, 2026-06-08); a past week (2026-05-04) for past-scheduling test
• VITE_GOOGLE_MAPS_KEY configured so ScheduleDayMap renders (else map shows loading/blank)</t>
        </is>
      </c>
    </row>
    <row r="89" ht="26" customHeight="1">
      <c r="A89" s="1" t="inlineStr">
        <is>
          <t>6. Execution Summary  (auto-calculated)</t>
        </is>
      </c>
    </row>
    <row r="90">
      <c r="A90" s="4" t="inlineStr">
        <is>
          <t>Total Cases</t>
        </is>
      </c>
      <c r="B90" s="5">
        <f>COUNTA('Test Cases'!A2:A119)</f>
        <v/>
      </c>
    </row>
    <row r="91">
      <c r="A91" s="4" t="inlineStr">
        <is>
          <t>Pass</t>
        </is>
      </c>
      <c r="B91" s="5">
        <f>COUNTIF('Test Cases'!L2:L119,"Pass")</f>
        <v/>
      </c>
    </row>
    <row r="92">
      <c r="A92" s="4" t="inlineStr">
        <is>
          <t>Fail</t>
        </is>
      </c>
      <c r="B92" s="5">
        <f>COUNTIF('Test Cases'!L2:L119,"Fail")</f>
        <v/>
      </c>
    </row>
    <row r="93">
      <c r="A93" s="4" t="inlineStr">
        <is>
          <t>Blocked</t>
        </is>
      </c>
      <c r="B93" s="5">
        <f>COUNTIF('Test Cases'!L2:L119,"Blocked")</f>
        <v/>
      </c>
    </row>
    <row r="94">
      <c r="A94" s="4" t="inlineStr">
        <is>
          <t>N/A</t>
        </is>
      </c>
      <c r="B94" s="5">
        <f>COUNTIF('Test Cases'!L2:L119,"N/A")</f>
        <v/>
      </c>
    </row>
    <row r="95">
      <c r="A95" s="4" t="inlineStr">
        <is>
          <t>Not Executed</t>
        </is>
      </c>
      <c r="B95" s="5">
        <f>COUNTIF('Test Cases'!L2:L119,"Not Executed")</f>
        <v/>
      </c>
    </row>
    <row r="96">
      <c r="A96" s="4" t="inlineStr">
        <is>
          <t>% Executed</t>
        </is>
      </c>
      <c r="B96" s="6">
        <f>IF(B90=0,0,(B90-COUNTIF('Test Cases'!L2:L119,"Not Executed"))/B90)</f>
        <v/>
      </c>
    </row>
    <row r="97">
      <c r="A97" s="4" t="inlineStr">
        <is>
          <t>% Pass (of executed)</t>
        </is>
      </c>
      <c r="B97" s="6">
        <f>IFERROR(B91/(B90-B95),0)</f>
        <v/>
      </c>
    </row>
    <row r="99" ht="26" customHeight="1">
      <c r="A99" s="1" t="inlineStr">
        <is>
          <t>7. Defect Severity Legend</t>
        </is>
      </c>
    </row>
    <row r="100" ht="18" customHeight="1">
      <c r="A100" s="2" t="inlineStr">
        <is>
          <t>Critical</t>
        </is>
      </c>
      <c r="B100" s="3" t="inlineStr">
        <is>
          <t>Blocks core workflow / data loss / security breach; no workaround. Fix before go-live.</t>
        </is>
      </c>
    </row>
    <row r="101" ht="18" customHeight="1">
      <c r="A101" s="2" t="inlineStr">
        <is>
          <t>High</t>
        </is>
      </c>
      <c r="B101" s="3" t="inlineStr">
        <is>
          <t>Major feature broken or incorrect; workaround difficult. Fix before go-live.</t>
        </is>
      </c>
    </row>
    <row r="102" ht="18" customHeight="1">
      <c r="A102" s="2" t="inlineStr">
        <is>
          <t>Medium</t>
        </is>
      </c>
      <c r="B102" s="3" t="inlineStr">
        <is>
          <t>Feature works with a usable workaround or minor data issue.</t>
        </is>
      </c>
    </row>
    <row r="103" ht="18" customHeight="1">
      <c r="A103" s="2" t="inlineStr">
        <is>
          <t>Low</t>
        </is>
      </c>
      <c r="B103" s="3" t="inlineStr">
        <is>
          <t>Cosmetic / minor UI / wording. Backlog.</t>
        </is>
      </c>
    </row>
    <row r="105" ht="26" customHeight="1">
      <c r="A105" s="1" t="inlineStr">
        <is>
          <t>8. Status Values</t>
        </is>
      </c>
    </row>
    <row r="106" ht="45" customHeight="1">
      <c r="A106" s="2" t="inlineStr">
        <is>
          <t>Pass / Fail / Blocked / N/A / Not Executed</t>
        </is>
      </c>
      <c r="B106" s="3" t="inlineStr">
        <is>
          <t>Pass = behaves as expected. Fail = does not match Expected Result (log Severity + Remarks/Defect ID). Blocked = cannot test due to a dependency/defect. N/A = not applicable in this environment. Not Executed = not yet run (default).</t>
        </is>
      </c>
    </row>
  </sheetData>
  <mergeCells count="9">
    <mergeCell ref="A86:B86"/>
    <mergeCell ref="A99:B99"/>
    <mergeCell ref="A32:B32"/>
    <mergeCell ref="A14:B14"/>
    <mergeCell ref="A89:B89"/>
    <mergeCell ref="A1:B1"/>
    <mergeCell ref="A17:B17"/>
    <mergeCell ref="A9:B9"/>
    <mergeCell ref="A105:B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9" customWidth="1" min="4" max="4"/>
    <col width="13" customWidth="1" min="5" max="5"/>
    <col width="26" customWidth="1" min="6" max="6"/>
    <col width="50" customWidth="1" min="7" max="7"/>
    <col width="24" customWidth="1" min="8" max="8"/>
    <col width="44" customWidth="1" min="9" max="9"/>
    <col width="30" customWidth="1" min="10" max="10"/>
    <col width="30" customWidth="1" min="11" max="11"/>
    <col width="14" customWidth="1" min="12" max="12"/>
    <col width="11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7" t="inlineStr">
        <is>
          <t>Test Case ID</t>
        </is>
      </c>
      <c r="B1" s="7" t="inlineStr">
        <is>
          <t>Section / Feature</t>
        </is>
      </c>
      <c r="C1" s="7" t="inlineStr">
        <is>
          <t>Test Title</t>
        </is>
      </c>
      <c r="D1" s="7" t="inlineStr">
        <is>
          <t>Priority</t>
        </is>
      </c>
      <c r="E1" s="7" t="inlineStr">
        <is>
          <t>Type</t>
        </is>
      </c>
      <c r="F1" s="7" t="inlineStr">
        <is>
          <t>Preconditions</t>
        </is>
      </c>
      <c r="G1" s="7" t="inlineStr">
        <is>
          <t>Test Steps</t>
        </is>
      </c>
      <c r="H1" s="7" t="inlineStr">
        <is>
          <t>Test Data</t>
        </is>
      </c>
      <c r="I1" s="7" t="inlineStr">
        <is>
          <t>Expected Result</t>
        </is>
      </c>
      <c r="J1" s="7" t="inlineStr">
        <is>
          <t>API Reference</t>
        </is>
      </c>
      <c r="K1" s="7" t="inlineStr">
        <is>
          <t>Actual Result</t>
        </is>
      </c>
      <c r="L1" s="7" t="inlineStr">
        <is>
          <t>Status</t>
        </is>
      </c>
      <c r="M1" s="7" t="inlineStr">
        <is>
          <t>Severity</t>
        </is>
      </c>
      <c r="N1" s="7" t="inlineStr">
        <is>
          <t>Tested By</t>
        </is>
      </c>
      <c r="O1" s="7" t="inlineStr">
        <is>
          <t>Date Tested</t>
        </is>
      </c>
      <c r="P1" s="7" t="inlineStr">
        <is>
          <t>Remarks / Defect ID</t>
        </is>
      </c>
    </row>
    <row r="2" ht="120" customHeight="1">
      <c r="A2" s="8" t="inlineStr">
        <is>
          <t>SCH-001</t>
        </is>
      </c>
      <c r="B2" s="9" t="inlineStr">
        <is>
          <t>Schedule Calendar</t>
        </is>
      </c>
      <c r="C2" s="9" t="inlineStr">
        <is>
          <t>Calendar page loads with header, tabs and schedule list</t>
        </is>
      </c>
      <c r="D2" s="10" t="inlineStr">
        <is>
          <t>High</t>
        </is>
      </c>
      <c r="E2" s="9" t="inlineStr">
        <is>
          <t>Functional</t>
        </is>
      </c>
      <c r="F2" s="9" t="inlineStr">
        <is>
          <t>Logged in; at least one schedule and one vehicle exist.</t>
        </is>
      </c>
      <c r="G2" s="9" t="inlineStr">
        <is>
          <t>1. Navigate to /saranam/scheduling
2. Wait for the spinner to finish</t>
        </is>
      </c>
      <c r="H2" s="9" t="inlineStr">
        <is>
          <t>N/A</t>
        </is>
      </c>
      <c r="I2" s="9" t="inlineStr">
        <is>
          <t>Header 'Schedule Calendar / Weekly schedule overview' shows with Calendar icon. Refresh, Quick Create and New Schedule buttons render. Five status tabs (All, Draft, Submitted, Active, Archived) each show a count badge. The schedule table lists Week, Status, Patients, Days, Actions columns sorted newest week first.</t>
        </is>
      </c>
      <c r="J2" s="9" t="inlineStr">
        <is>
          <t>GET /api/saranam/scheduling/schedules?per_page=100 and GET /api/saranam/scheduling/vehicles</t>
        </is>
      </c>
      <c r="K2" s="11" t="inlineStr"/>
      <c r="L2" s="12" t="inlineStr">
        <is>
          <t>Not Executed</t>
        </is>
      </c>
      <c r="M2" s="12" t="inlineStr"/>
      <c r="N2" s="12" t="inlineStr"/>
      <c r="O2" s="12" t="inlineStr"/>
      <c r="P2" s="11" t="inlineStr"/>
    </row>
    <row r="3" ht="75" customHeight="1">
      <c r="A3" s="8" t="inlineStr">
        <is>
          <t>SCH-002</t>
        </is>
      </c>
      <c r="B3" s="9" t="inlineStr">
        <is>
          <t>Schedule Calendar</t>
        </is>
      </c>
      <c r="C3" s="9" t="inlineStr">
        <is>
          <t>Status tab filtering segregates schedules correctly</t>
        </is>
      </c>
      <c r="D3" s="10" t="inlineStr">
        <is>
          <t>High</t>
        </is>
      </c>
      <c r="E3" s="9" t="inlineStr">
        <is>
          <t>Functional</t>
        </is>
      </c>
      <c r="F3" s="9" t="inlineStr">
        <is>
          <t>Schedules exist in draft, submitted, approved/in_progress and archived statuses.</t>
        </is>
      </c>
      <c r="G3" s="9" t="inlineStr">
        <is>
          <t>1. On the calendar, click each tab: All, Draft, Submitted, Active, Archived</t>
        </is>
      </c>
      <c r="H3" s="9" t="inlineStr">
        <is>
          <t>N/A</t>
        </is>
      </c>
      <c r="I3" s="9" t="inlineStr">
        <is>
          <t>Draft tab shows only status=draft; Submitted only submitted; Active shows approved/communicated/in_progress/review_ready; Archived only archived; All shows everything. Counts in tab badges match the rows shown.</t>
        </is>
      </c>
      <c r="J3" s="9" t="inlineStr">
        <is>
          <t>N/A (client-side filter of GET /schedules result)</t>
        </is>
      </c>
      <c r="K3" s="11" t="inlineStr"/>
      <c r="L3" s="12" t="inlineStr">
        <is>
          <t>Not Executed</t>
        </is>
      </c>
      <c r="M3" s="12" t="inlineStr"/>
      <c r="N3" s="12" t="inlineStr"/>
      <c r="O3" s="12" t="inlineStr"/>
      <c r="P3" s="11" t="inlineStr"/>
    </row>
    <row r="4" ht="45" customHeight="1">
      <c r="A4" s="8" t="inlineStr">
        <is>
          <t>SCH-003</t>
        </is>
      </c>
      <c r="B4" s="9" t="inlineStr">
        <is>
          <t>Schedule Calendar</t>
        </is>
      </c>
      <c r="C4" s="9" t="inlineStr">
        <is>
          <t>Deep link ?status=pending opens the Submitted tab (Drafts &amp; Approvals)</t>
        </is>
      </c>
      <c r="D4" s="10" t="inlineStr">
        <is>
          <t>High</t>
        </is>
      </c>
      <c r="E4" s="9" t="inlineStr">
        <is>
          <t>Functional</t>
        </is>
      </c>
      <c r="F4" s="9" t="inlineStr">
        <is>
          <t>Logged in.</t>
        </is>
      </c>
      <c r="G4" s="9" t="inlineStr">
        <is>
          <t>1. Navigate directly to /saranam/scheduling?status=pending</t>
        </is>
      </c>
      <c r="H4" s="9" t="inlineStr">
        <is>
          <t>URL query status=pending</t>
        </is>
      </c>
      <c r="I4" s="9" t="inlineStr">
        <is>
          <t>Page opens with the Submitted tab pre-selected (activeTab index 1), listing only submitted schedules awaiting approval.</t>
        </is>
      </c>
      <c r="J4" s="9" t="inlineStr">
        <is>
          <t>GET /api/saranam/scheduling/schedules?per_page=100</t>
        </is>
      </c>
      <c r="K4" s="11" t="inlineStr"/>
      <c r="L4" s="12" t="inlineStr">
        <is>
          <t>Not Executed</t>
        </is>
      </c>
      <c r="M4" s="12" t="inlineStr"/>
      <c r="N4" s="12" t="inlineStr"/>
      <c r="O4" s="12" t="inlineStr"/>
      <c r="P4" s="11" t="inlineStr"/>
    </row>
    <row r="5" ht="45" customHeight="1">
      <c r="A5" s="8" t="inlineStr">
        <is>
          <t>SCH-004</t>
        </is>
      </c>
      <c r="B5" s="9" t="inlineStr">
        <is>
          <t>Schedule Calendar</t>
        </is>
      </c>
      <c r="C5" s="9" t="inlineStr">
        <is>
          <t>Refresh button reloads schedules and vehicles</t>
        </is>
      </c>
      <c r="D5" s="13" t="inlineStr">
        <is>
          <t>Medium</t>
        </is>
      </c>
      <c r="E5" s="9" t="inlineStr">
        <is>
          <t>Functional</t>
        </is>
      </c>
      <c r="F5" s="9" t="inlineStr">
        <is>
          <t>Calendar loaded.</t>
        </is>
      </c>
      <c r="G5" s="9" t="inlineStr">
        <is>
          <t>1. Create/modify a schedule in another tab
2. Click Refresh on the calendar</t>
        </is>
      </c>
      <c r="H5" s="9" t="inlineStr">
        <is>
          <t>N/A</t>
        </is>
      </c>
      <c r="I5" s="9" t="inlineStr">
        <is>
          <t>List re-fetches and reflects the latest data; spinner shows briefly during load.</t>
        </is>
      </c>
      <c r="J5" s="9" t="inlineStr">
        <is>
          <t>GET /api/saranam/scheduling/schedules + GET /api/saranam/scheduling/vehicles</t>
        </is>
      </c>
      <c r="K5" s="11" t="inlineStr"/>
      <c r="L5" s="12" t="inlineStr">
        <is>
          <t>Not Executed</t>
        </is>
      </c>
      <c r="M5" s="12" t="inlineStr"/>
      <c r="N5" s="12" t="inlineStr"/>
      <c r="O5" s="12" t="inlineStr"/>
      <c r="P5" s="11" t="inlineStr"/>
    </row>
    <row r="6" ht="60" customHeight="1">
      <c r="A6" s="8" t="inlineStr">
        <is>
          <t>SCH-005</t>
        </is>
      </c>
      <c r="B6" s="9" t="inlineStr">
        <is>
          <t>Schedule Calendar</t>
        </is>
      </c>
      <c r="C6" s="9" t="inlineStr">
        <is>
          <t>New Schedule dialog creates a schedule and opens the board</t>
        </is>
      </c>
      <c r="D6" s="10" t="inlineStr">
        <is>
          <t>High</t>
        </is>
      </c>
      <c r="E6" s="9" t="inlineStr">
        <is>
          <t>Functional</t>
        </is>
      </c>
      <c r="F6" s="9" t="inlineStr">
        <is>
          <t>At least one vehicle configured.</t>
        </is>
      </c>
      <c r="G6" s="9" t="inlineStr">
        <is>
          <t>1. Click New Schedule
2. In the dialog pick Week Start Date 2026-06-08
3. Click Create</t>
        </is>
      </c>
      <c r="H6" s="9" t="inlineStr">
        <is>
          <t>Week Start = 2026-06-08</t>
        </is>
      </c>
      <c r="I6" s="9" t="inlineStr">
        <is>
          <t>Schedule is created (uses vehicles[0]) and the app navigates to /saranam/scheduling/board/&lt;newId&gt;. Dialog closes and Create shows 'Creating...' while saving.</t>
        </is>
      </c>
      <c r="J6" s="9" t="inlineStr">
        <is>
          <t>POST /api/saranam/scheduling/schedules {week_start_date, vehicle_id}</t>
        </is>
      </c>
      <c r="K6" s="11" t="inlineStr"/>
      <c r="L6" s="12" t="inlineStr">
        <is>
          <t>Not Executed</t>
        </is>
      </c>
      <c r="M6" s="12" t="inlineStr"/>
      <c r="N6" s="12" t="inlineStr"/>
      <c r="O6" s="12" t="inlineStr"/>
      <c r="P6" s="11" t="inlineStr"/>
    </row>
    <row r="7" ht="45" customHeight="1">
      <c r="A7" s="8" t="inlineStr">
        <is>
          <t>SCH-006</t>
        </is>
      </c>
      <c r="B7" s="9" t="inlineStr">
        <is>
          <t>Schedule Calendar</t>
        </is>
      </c>
      <c r="C7" s="9" t="inlineStr">
        <is>
          <t>Create is disabled until a week start date is chosen</t>
        </is>
      </c>
      <c r="D7" s="13" t="inlineStr">
        <is>
          <t>Medium</t>
        </is>
      </c>
      <c r="E7" s="9" t="inlineStr">
        <is>
          <t>Validation</t>
        </is>
      </c>
      <c r="F7" s="9" t="inlineStr">
        <is>
          <t>New Schedule dialog open.</t>
        </is>
      </c>
      <c r="G7" s="9" t="inlineStr">
        <is>
          <t>1. Open New Schedule dialog
2. Leave Week Start Date empty
3. Observe the Create button</t>
        </is>
      </c>
      <c r="H7" s="9" t="inlineStr">
        <is>
          <t>Empty date</t>
        </is>
      </c>
      <c r="I7" s="9" t="inlineStr">
        <is>
          <t>Create button is disabled while the date field is empty; enabling only after a date is selected.</t>
        </is>
      </c>
      <c r="J7" s="9" t="inlineStr">
        <is>
          <t>N/A</t>
        </is>
      </c>
      <c r="K7" s="11" t="inlineStr"/>
      <c r="L7" s="12" t="inlineStr">
        <is>
          <t>Not Executed</t>
        </is>
      </c>
      <c r="M7" s="12" t="inlineStr"/>
      <c r="N7" s="12" t="inlineStr"/>
      <c r="O7" s="12" t="inlineStr"/>
      <c r="P7" s="11" t="inlineStr"/>
    </row>
    <row r="8" ht="60" customHeight="1">
      <c r="A8" s="8" t="inlineStr">
        <is>
          <t>SCH-007</t>
        </is>
      </c>
      <c r="B8" s="9" t="inlineStr">
        <is>
          <t>Schedule Calendar</t>
        </is>
      </c>
      <c r="C8" s="9" t="inlineStr">
        <is>
          <t>Quick Create makes a schedule for the current week's Monday</t>
        </is>
      </c>
      <c r="D8" s="13" t="inlineStr">
        <is>
          <t>Medium</t>
        </is>
      </c>
      <c r="E8" s="9" t="inlineStr">
        <is>
          <t>Functional</t>
        </is>
      </c>
      <c r="F8" s="9" t="inlineStr">
        <is>
          <t>At least one vehicle configured.</t>
        </is>
      </c>
      <c r="G8" s="9" t="inlineStr">
        <is>
          <t>1. Click Quick Create</t>
        </is>
      </c>
      <c r="H8" s="9" t="inlineStr">
        <is>
          <t>N/A (today 2026-06-01 -&gt; Monday 2026-06-01)</t>
        </is>
      </c>
      <c r="I8" s="9" t="inlineStr">
        <is>
          <t>A schedule for the current week's Monday is created with vehicles[0] and the board opens. Button shows disabled state while creating.</t>
        </is>
      </c>
      <c r="J8" s="9" t="inlineStr">
        <is>
          <t>POST /api/saranam/scheduling/schedules</t>
        </is>
      </c>
      <c r="K8" s="11" t="inlineStr"/>
      <c r="L8" s="12" t="inlineStr">
        <is>
          <t>Not Executed</t>
        </is>
      </c>
      <c r="M8" s="12" t="inlineStr"/>
      <c r="N8" s="12" t="inlineStr"/>
      <c r="O8" s="12" t="inlineStr"/>
      <c r="P8" s="11" t="inlineStr"/>
    </row>
    <row r="9" ht="45" customHeight="1">
      <c r="A9" s="8" t="inlineStr">
        <is>
          <t>SCH-008</t>
        </is>
      </c>
      <c r="B9" s="9" t="inlineStr">
        <is>
          <t>Schedule Calendar</t>
        </is>
      </c>
      <c r="C9" s="9" t="inlineStr">
        <is>
          <t>Create blocked when no vehicles configured</t>
        </is>
      </c>
      <c r="D9" s="10" t="inlineStr">
        <is>
          <t>High</t>
        </is>
      </c>
      <c r="E9" s="9" t="inlineStr">
        <is>
          <t>Negative</t>
        </is>
      </c>
      <c r="F9" s="9" t="inlineStr">
        <is>
          <t>No vehicles exist (delete/avoid configuring any).</t>
        </is>
      </c>
      <c r="G9" s="9" t="inlineStr">
        <is>
          <t>1. Click Quick Create (or New Schedule -&gt; pick date -&gt; Create)</t>
        </is>
      </c>
      <c r="H9" s="9" t="inlineStr">
        <is>
          <t>N/A</t>
        </is>
      </c>
      <c r="I9" s="9" t="inlineStr">
        <is>
          <t>An error banner shows 'No vehicles configured. Add a vehicle in Settings first.' and no schedule is created/navigation occurs.</t>
        </is>
      </c>
      <c r="J9" s="9" t="inlineStr">
        <is>
          <t>N/A (guarded client-side before POST)</t>
        </is>
      </c>
      <c r="K9" s="11" t="inlineStr"/>
      <c r="L9" s="12" t="inlineStr">
        <is>
          <t>Not Executed</t>
        </is>
      </c>
      <c r="M9" s="12" t="inlineStr"/>
      <c r="N9" s="12" t="inlineStr"/>
      <c r="O9" s="12" t="inlineStr"/>
      <c r="P9" s="11" t="inlineStr"/>
    </row>
    <row r="10" ht="75" customHeight="1">
      <c r="A10" s="8" t="inlineStr">
        <is>
          <t>SCH-009</t>
        </is>
      </c>
      <c r="B10" s="9" t="inlineStr">
        <is>
          <t>Schedule Calendar</t>
        </is>
      </c>
      <c r="C10" s="9" t="inlineStr">
        <is>
          <t>Open / View action navigates by status</t>
        </is>
      </c>
      <c r="D10" s="13" t="inlineStr">
        <is>
          <t>Medium</t>
        </is>
      </c>
      <c r="E10" s="9" t="inlineStr">
        <is>
          <t>Functional</t>
        </is>
      </c>
      <c r="F10" s="9" t="inlineStr">
        <is>
          <t>Schedules in various statuses exist.</t>
        </is>
      </c>
      <c r="G10" s="9" t="inlineStr">
        <is>
          <t>1. Click a non-review_ready row (or its Open button)
2. Go back, click a review_ready row
3. Go back, observe an archived row's button label</t>
        </is>
      </c>
      <c r="H10" s="9" t="inlineStr">
        <is>
          <t>N/A</t>
        </is>
      </c>
      <c r="I10" s="9" t="inlineStr">
        <is>
          <t>Non review_ready rows open /board/:id. review_ready rows open /review-dashboard/:id. Archived rows show 'View' label (others show 'Open').</t>
        </is>
      </c>
      <c r="J10" s="9" t="inlineStr">
        <is>
          <t>N/A (navigation)</t>
        </is>
      </c>
      <c r="K10" s="11" t="inlineStr"/>
      <c r="L10" s="12" t="inlineStr">
        <is>
          <t>Not Executed</t>
        </is>
      </c>
      <c r="M10" s="12" t="inlineStr"/>
      <c r="N10" s="12" t="inlineStr"/>
      <c r="O10" s="12" t="inlineStr"/>
      <c r="P10" s="11" t="inlineStr"/>
    </row>
    <row r="11" ht="60" customHeight="1">
      <c r="A11" s="8" t="inlineStr">
        <is>
          <t>SCH-010</t>
        </is>
      </c>
      <c r="B11" s="9" t="inlineStr">
        <is>
          <t>Schedule Calendar</t>
        </is>
      </c>
      <c r="C11" s="9" t="inlineStr">
        <is>
          <t>Schedule PDF download (Schedule button)</t>
        </is>
      </c>
      <c r="D11" s="13" t="inlineStr">
        <is>
          <t>Medium</t>
        </is>
      </c>
      <c r="E11" s="9" t="inlineStr">
        <is>
          <t>Functional</t>
        </is>
      </c>
      <c r="F11" s="9" t="inlineStr">
        <is>
          <t>A schedule with patient slots exists.</t>
        </is>
      </c>
      <c r="G11" s="9" t="inlineStr">
        <is>
          <t>1. On a row click the 'Schedule' (Download) button</t>
        </is>
      </c>
      <c r="H11" s="9" t="inlineStr">
        <is>
          <t>N/A</t>
        </is>
      </c>
      <c r="I11" s="9" t="inlineStr">
        <is>
          <t>Export data is fetched and a schedule PDF is generated/downloaded. On a PDF generation error an error banner 'PDF generation failed: ...' is shown.</t>
        </is>
      </c>
      <c r="J11" s="9" t="inlineStr">
        <is>
          <t>GET /api/saranam/scheduling/schedules/{id}/export-data</t>
        </is>
      </c>
      <c r="K11" s="11" t="inlineStr"/>
      <c r="L11" s="12" t="inlineStr">
        <is>
          <t>Not Executed</t>
        </is>
      </c>
      <c r="M11" s="12" t="inlineStr"/>
      <c r="N11" s="12" t="inlineStr"/>
      <c r="O11" s="12" t="inlineStr"/>
      <c r="P11" s="11" t="inlineStr"/>
    </row>
    <row r="12" ht="105" customHeight="1">
      <c r="A12" s="8" t="inlineStr">
        <is>
          <t>SCH-011</t>
        </is>
      </c>
      <c r="B12" s="9" t="inlineStr">
        <is>
          <t>Schedule Calendar</t>
        </is>
      </c>
      <c r="C12" s="9" t="inlineStr">
        <is>
          <t>Weekly Report button only on active/completed schedules</t>
        </is>
      </c>
      <c r="D12" s="13" t="inlineStr">
        <is>
          <t>Medium</t>
        </is>
      </c>
      <c r="E12" s="9" t="inlineStr">
        <is>
          <t>Functional</t>
        </is>
      </c>
      <c r="F12" s="9" t="inlineStr">
        <is>
          <t>An active/in_progress/review_ready/completed schedule with deviations exists; also a draft schedule exists.</t>
        </is>
      </c>
      <c r="G12" s="9" t="inlineStr">
        <is>
          <t>1. Locate an active schedule row -&gt; click 'Report'
2. Locate a draft schedule row and confirm no Report button</t>
        </is>
      </c>
      <c r="H12" s="9" t="inlineStr">
        <is>
          <t>N/A</t>
        </is>
      </c>
      <c r="I12" s="9" t="inlineStr">
        <is>
          <t>Report button appears only for active/in_progress/review_ready/completed rows; clicking fetches schedule detail + deviations and generates the weekly report PDF. Draft/submitted rows have no Report button. On failure an alert 'Failed to generate report' shows.</t>
        </is>
      </c>
      <c r="J12" s="9" t="inlineStr">
        <is>
          <t>GET /schedules/{id} + GET /schedules/{id}/deviations</t>
        </is>
      </c>
      <c r="K12" s="11" t="inlineStr"/>
      <c r="L12" s="12" t="inlineStr">
        <is>
          <t>Not Executed</t>
        </is>
      </c>
      <c r="M12" s="12" t="inlineStr"/>
      <c r="N12" s="12" t="inlineStr"/>
      <c r="O12" s="12" t="inlineStr"/>
      <c r="P12" s="11" t="inlineStr"/>
    </row>
    <row r="13" ht="60" customHeight="1">
      <c r="A13" s="8" t="inlineStr">
        <is>
          <t>SCH-012</t>
        </is>
      </c>
      <c r="B13" s="9" t="inlineStr">
        <is>
          <t>Schedule Calendar</t>
        </is>
      </c>
      <c r="C13" s="9" t="inlineStr">
        <is>
          <t>Delete schedule with confirmation removes it</t>
        </is>
      </c>
      <c r="D13" s="10" t="inlineStr">
        <is>
          <t>High</t>
        </is>
      </c>
      <c r="E13" s="9" t="inlineStr">
        <is>
          <t>Functional</t>
        </is>
      </c>
      <c r="F13" s="9" t="inlineStr">
        <is>
          <t>A deletable schedule exists.</t>
        </is>
      </c>
      <c r="G13" s="9" t="inlineStr">
        <is>
          <t>1. Click the red trash icon on a row
2. Confirm the browser confirm dialog warning about removing assignments, team and audit logs</t>
        </is>
      </c>
      <c r="H13" s="9" t="inlineStr">
        <is>
          <t>N/A</t>
        </is>
      </c>
      <c r="I13" s="9" t="inlineStr">
        <is>
          <t>On confirm the schedule is deleted and the list reloads without it. Cancelling the confirm leaves it intact. On backend error an error banner appears.</t>
        </is>
      </c>
      <c r="J13" s="9" t="inlineStr">
        <is>
          <t>DELETE /api/saranam/scheduling/schedules/{id}</t>
        </is>
      </c>
      <c r="K13" s="11" t="inlineStr"/>
      <c r="L13" s="12" t="inlineStr">
        <is>
          <t>Not Executed</t>
        </is>
      </c>
      <c r="M13" s="12" t="inlineStr"/>
      <c r="N13" s="12" t="inlineStr"/>
      <c r="O13" s="12" t="inlineStr"/>
      <c r="P13" s="11" t="inlineStr"/>
    </row>
    <row r="14" ht="45" customHeight="1">
      <c r="A14" s="8" t="inlineStr">
        <is>
          <t>SCH-013</t>
        </is>
      </c>
      <c r="B14" s="9" t="inlineStr">
        <is>
          <t>Schedule Calendar</t>
        </is>
      </c>
      <c r="C14" s="9" t="inlineStr">
        <is>
          <t>Empty state when no schedules in a tab</t>
        </is>
      </c>
      <c r="D14" s="14" t="inlineStr">
        <is>
          <t>Low</t>
        </is>
      </c>
      <c r="E14" s="9" t="inlineStr">
        <is>
          <t>UI/UX</t>
        </is>
      </c>
      <c r="F14" s="9" t="inlineStr">
        <is>
          <t>A tab with zero matching schedules (e.g. Archived empty).</t>
        </is>
      </c>
      <c r="G14" s="9" t="inlineStr">
        <is>
          <t>1. Open a tab that has no schedules</t>
        </is>
      </c>
      <c r="H14" s="9" t="inlineStr">
        <is>
          <t>N/A</t>
        </is>
      </c>
      <c r="I14" s="9" t="inlineStr">
        <is>
          <t>A centred empty state with calendar icon, 'No schedules found' and a 'Create Schedule' button is shown.</t>
        </is>
      </c>
      <c r="J14" s="9" t="inlineStr">
        <is>
          <t>N/A</t>
        </is>
      </c>
      <c r="K14" s="11" t="inlineStr"/>
      <c r="L14" s="12" t="inlineStr">
        <is>
          <t>Not Executed</t>
        </is>
      </c>
      <c r="M14" s="12" t="inlineStr"/>
      <c r="N14" s="12" t="inlineStr"/>
      <c r="O14" s="12" t="inlineStr"/>
      <c r="P14" s="11" t="inlineStr"/>
    </row>
    <row r="15" ht="45" customHeight="1">
      <c r="A15" s="8" t="inlineStr">
        <is>
          <t>SCH-014</t>
        </is>
      </c>
      <c r="B15" s="9" t="inlineStr">
        <is>
          <t>Schedule Calendar</t>
        </is>
      </c>
      <c r="C15" s="9" t="inlineStr">
        <is>
          <t>List load failure shows error banner</t>
        </is>
      </c>
      <c r="D15" s="13" t="inlineStr">
        <is>
          <t>Medium</t>
        </is>
      </c>
      <c r="E15" s="9" t="inlineStr">
        <is>
          <t>Negative</t>
        </is>
      </c>
      <c r="F15" s="9" t="inlineStr">
        <is>
          <t>Ability to simulate API failure (e.g. backend down / 500).</t>
        </is>
      </c>
      <c r="G15" s="9" t="inlineStr">
        <is>
          <t>1. With the schedules API failing, navigate to /saranam/scheduling</t>
        </is>
      </c>
      <c r="H15" s="9" t="inlineStr">
        <is>
          <t>N/A</t>
        </is>
      </c>
      <c r="I15" s="9" t="inlineStr">
        <is>
          <t>A dismissible error Alert 'Failed to load schedules' is shown; the page does not crash.</t>
        </is>
      </c>
      <c r="J15" s="9" t="inlineStr">
        <is>
          <t>GET /api/saranam/scheduling/schedules</t>
        </is>
      </c>
      <c r="K15" s="11" t="inlineStr"/>
      <c r="L15" s="12" t="inlineStr">
        <is>
          <t>Not Executed</t>
        </is>
      </c>
      <c r="M15" s="12" t="inlineStr"/>
      <c r="N15" s="12" t="inlineStr"/>
      <c r="O15" s="12" t="inlineStr"/>
      <c r="P15" s="11" t="inlineStr"/>
    </row>
    <row r="16" ht="90" customHeight="1">
      <c r="A16" s="15" t="inlineStr">
        <is>
          <t>SCH-015</t>
        </is>
      </c>
      <c r="B16" s="16" t="inlineStr">
        <is>
          <t>Weekly Planning Board</t>
        </is>
      </c>
      <c r="C16" s="16" t="inlineStr">
        <is>
          <t>Board loads draft schedule with sidebar, day columns and map</t>
        </is>
      </c>
      <c r="D16" s="17" t="inlineStr">
        <is>
          <t>High</t>
        </is>
      </c>
      <c r="E16" s="16" t="inlineStr">
        <is>
          <t>Functional</t>
        </is>
      </c>
      <c r="F16" s="16" t="inlineStr">
        <is>
          <t>A draft schedule with days exists; patient pool populated.</t>
        </is>
      </c>
      <c r="G16" s="16" t="inlineStr">
        <is>
          <t>1. Open /saranam/scheduling/board/:scheduleId for a draft
2. Wait for schedule then pool to hydrate</t>
        </is>
      </c>
      <c r="H16" s="16" t="inlineStr">
        <is>
          <t>N/A</t>
        </is>
      </c>
      <c r="I16" s="16" t="inlineStr">
        <is>
          <t>Header shows 'Weekly Planning', vehicle chip, status badge (Draft) and week range. Patient pool sidebar (draft only), day columns and the right route map render in Split View. A LinearProgress saving bar appears only during saves.</t>
        </is>
      </c>
      <c r="J16" s="16" t="inlineStr">
        <is>
          <t>GET /schedules/{id}; GET /patient-pool?per_page=150; GET /vehicles; GET /available-team; GET /config; POST /patient-pool/recalculate-priorities</t>
        </is>
      </c>
      <c r="K16" s="11" t="inlineStr"/>
      <c r="L16" s="12" t="inlineStr">
        <is>
          <t>Not Executed</t>
        </is>
      </c>
      <c r="M16" s="12" t="inlineStr"/>
      <c r="N16" s="12" t="inlineStr"/>
      <c r="O16" s="12" t="inlineStr"/>
      <c r="P16" s="11" t="inlineStr"/>
    </row>
    <row r="17" ht="90" customHeight="1">
      <c r="A17" s="15" t="inlineStr">
        <is>
          <t>SCH-016</t>
        </is>
      </c>
      <c r="B17" s="16" t="inlineStr">
        <is>
          <t>Weekly Planning Board</t>
        </is>
      </c>
      <c r="C17" s="16" t="inlineStr">
        <is>
          <t>Loading and progressive hydration states</t>
        </is>
      </c>
      <c r="D17" s="18" t="inlineStr">
        <is>
          <t>Medium</t>
        </is>
      </c>
      <c r="E17" s="16" t="inlineStr">
        <is>
          <t>UI/UX</t>
        </is>
      </c>
      <c r="F17" s="16" t="inlineStr">
        <is>
          <t>Draft schedule.</t>
        </is>
      </c>
      <c r="G17" s="16" t="inlineStr">
        <is>
          <t>1. Open the board and observe loading text
2. Observe the sidebar while pool loads</t>
        </is>
      </c>
      <c r="H17" s="16" t="inlineStr">
        <is>
          <t>N/A</t>
        </is>
      </c>
      <c r="I17" s="16" t="inlineStr">
        <is>
          <t>Full-page 'Loading schedule...' spinner with step text ('Fetching schedule' then 'Loading patient pool') until schedule lands; once board renders the sidebar shows its own 'Loading patient pool...' spinner until the pool fetch completes.</t>
        </is>
      </c>
      <c r="J17" s="16" t="inlineStr">
        <is>
          <t>GET /schedules/{id}; GET /patient-pool</t>
        </is>
      </c>
      <c r="K17" s="11" t="inlineStr"/>
      <c r="L17" s="12" t="inlineStr">
        <is>
          <t>Not Executed</t>
        </is>
      </c>
      <c r="M17" s="12" t="inlineStr"/>
      <c r="N17" s="12" t="inlineStr"/>
      <c r="O17" s="12" t="inlineStr"/>
      <c r="P17" s="11" t="inlineStr"/>
    </row>
    <row r="18" ht="60" customHeight="1">
      <c r="A18" s="15" t="inlineStr">
        <is>
          <t>SCH-017</t>
        </is>
      </c>
      <c r="B18" s="16" t="inlineStr">
        <is>
          <t>Weekly Planning Board</t>
        </is>
      </c>
      <c r="C18" s="16" t="inlineStr">
        <is>
          <t>Board load failure for missing/invalid scheduleId</t>
        </is>
      </c>
      <c r="D18" s="17" t="inlineStr">
        <is>
          <t>High</t>
        </is>
      </c>
      <c r="E18" s="16" t="inlineStr">
        <is>
          <t>Negative</t>
        </is>
      </c>
      <c r="F18" s="16" t="inlineStr">
        <is>
          <t>Logged in.</t>
        </is>
      </c>
      <c r="G18" s="16" t="inlineStr">
        <is>
          <t>1. Open /saranam/scheduling/board/00000000-0000-0000-0000-000000000000</t>
        </is>
      </c>
      <c r="H18" s="16" t="inlineStr">
        <is>
          <t>Non-existent GUID</t>
        </is>
      </c>
      <c r="I18" s="16" t="inlineStr">
        <is>
          <t>An error screen with AlertCircle icon, the error message and a 'Go Back' button is shown (backend returns 404 'Schedule not found').</t>
        </is>
      </c>
      <c r="J18" s="16" t="inlineStr">
        <is>
          <t>GET /api/saranam/scheduling/schedules/{id} -&gt; 404</t>
        </is>
      </c>
      <c r="K18" s="11" t="inlineStr"/>
      <c r="L18" s="12" t="inlineStr">
        <is>
          <t>Not Executed</t>
        </is>
      </c>
      <c r="M18" s="12" t="inlineStr"/>
      <c r="N18" s="12" t="inlineStr"/>
      <c r="O18" s="12" t="inlineStr"/>
      <c r="P18" s="11" t="inlineStr"/>
    </row>
    <row r="19" ht="45" customHeight="1">
      <c r="A19" s="15" t="inlineStr">
        <is>
          <t>SCH-018</t>
        </is>
      </c>
      <c r="B19" s="16" t="inlineStr">
        <is>
          <t>Weekly Planning Board</t>
        </is>
      </c>
      <c r="C19" s="16" t="inlineStr">
        <is>
          <t>Board with malformed (non-GUID) scheduleId</t>
        </is>
      </c>
      <c r="D19" s="19" t="inlineStr">
        <is>
          <t>Low</t>
        </is>
      </c>
      <c r="E19" s="16" t="inlineStr">
        <is>
          <t>Negative</t>
        </is>
      </c>
      <c r="F19" s="16" t="inlineStr">
        <is>
          <t>Logged in.</t>
        </is>
      </c>
      <c r="G19" s="16" t="inlineStr">
        <is>
          <t>1. Open /saranam/scheduling/board/not-a-guid</t>
        </is>
      </c>
      <c r="H19" s="16" t="inlineStr">
        <is>
          <t>scheduleId = 'not-a-guid'</t>
        </is>
      </c>
      <c r="I19" s="16" t="inlineStr">
        <is>
          <t>Backend route (uuid converter) does not match / returns error; the board surfaces a load error rather than crashing.</t>
        </is>
      </c>
      <c r="J19" s="16" t="inlineStr">
        <is>
          <t>GET /schedules/{id}</t>
        </is>
      </c>
      <c r="K19" s="11" t="inlineStr"/>
      <c r="L19" s="12" t="inlineStr">
        <is>
          <t>Not Executed</t>
        </is>
      </c>
      <c r="M19" s="12" t="inlineStr"/>
      <c r="N19" s="12" t="inlineStr"/>
      <c r="O19" s="12" t="inlineStr"/>
      <c r="P19" s="11" t="inlineStr"/>
    </row>
    <row r="20" ht="45" customHeight="1">
      <c r="A20" s="15" t="inlineStr">
        <is>
          <t>SCH-019</t>
        </is>
      </c>
      <c r="B20" s="16" t="inlineStr">
        <is>
          <t>Weekly Planning Board</t>
        </is>
      </c>
      <c r="C20" s="16" t="inlineStr">
        <is>
          <t>Patient pool search filters by name and zone</t>
        </is>
      </c>
      <c r="D20" s="18" t="inlineStr">
        <is>
          <t>Medium</t>
        </is>
      </c>
      <c r="E20" s="16" t="inlineStr">
        <is>
          <t>Functional</t>
        </is>
      </c>
      <c r="F20" s="16" t="inlineStr">
        <is>
          <t>Draft board with multiple pool patients.</t>
        </is>
      </c>
      <c r="G20" s="16" t="inlineStr">
        <is>
          <t>1. Type a patient name fragment in the sidebar search
2. Clear and type a zone like 'North'</t>
        </is>
      </c>
      <c r="H20" s="16" t="inlineStr">
        <is>
          <t>Search 'Lakshmi'; then 'North'</t>
        </is>
      </c>
      <c r="I20" s="16" t="inlineStr">
        <is>
          <t>Sidebar list narrows to patients whose name or cluster matches (case-insensitive). The 'N patients in pool' count updates.</t>
        </is>
      </c>
      <c r="J20" s="16" t="inlineStr">
        <is>
          <t>N/A (client filter of loaded pool)</t>
        </is>
      </c>
      <c r="K20" s="11" t="inlineStr"/>
      <c r="L20" s="12" t="inlineStr">
        <is>
          <t>Not Executed</t>
        </is>
      </c>
      <c r="M20" s="12" t="inlineStr"/>
      <c r="N20" s="12" t="inlineStr"/>
      <c r="O20" s="12" t="inlineStr"/>
      <c r="P20" s="11" t="inlineStr"/>
    </row>
    <row r="21" ht="75" customHeight="1">
      <c r="A21" s="15" t="inlineStr">
        <is>
          <t>SCH-020</t>
        </is>
      </c>
      <c r="B21" s="16" t="inlineStr">
        <is>
          <t>Weekly Planning Board</t>
        </is>
      </c>
      <c r="C21" s="16" t="inlineStr">
        <is>
          <t>Patient pool filter chips (BSC/Onco combinations + NEW)</t>
        </is>
      </c>
      <c r="D21" s="18" t="inlineStr">
        <is>
          <t>Medium</t>
        </is>
      </c>
      <c r="E21" s="16" t="inlineStr">
        <is>
          <t>Functional</t>
        </is>
      </c>
      <c r="F21" s="16" t="inlineStr">
        <is>
          <t>Pool has each combination of BSC/Onco and at least one is_new patient.</t>
        </is>
      </c>
      <c r="G21" s="16" t="inlineStr">
        <is>
          <t>1. Click each chip: All, BSC Onco, Non-BSC Onco, BSC Non-Onco, Non-BSC Non-Onco, NEW</t>
        </is>
      </c>
      <c r="H21" s="16" t="inlineStr">
        <is>
          <t>N/A</t>
        </is>
      </c>
      <c r="I21" s="16" t="inlineStr">
        <is>
          <t>List filters to the chosen segment; NEW shows only is_new patients. NEW patients render in a blue highlighted 'New - Needs First Visit' group, suggested ones in an orange 'Suggested for this week' group.</t>
        </is>
      </c>
      <c r="J21" s="16" t="inlineStr">
        <is>
          <t>N/A (client filter)</t>
        </is>
      </c>
      <c r="K21" s="11" t="inlineStr"/>
      <c r="L21" s="12" t="inlineStr">
        <is>
          <t>Not Executed</t>
        </is>
      </c>
      <c r="M21" s="12" t="inlineStr"/>
      <c r="N21" s="12" t="inlineStr"/>
      <c r="O21" s="12" t="inlineStr"/>
      <c r="P21" s="11" t="inlineStr"/>
    </row>
    <row r="22" ht="45" customHeight="1">
      <c r="A22" s="15" t="inlineStr">
        <is>
          <t>SCH-021</t>
        </is>
      </c>
      <c r="B22" s="16" t="inlineStr">
        <is>
          <t>Weekly Planning Board</t>
        </is>
      </c>
      <c r="C22" s="16" t="inlineStr">
        <is>
          <t>Pool 'Show more' pagination reveals additional patients</t>
        </is>
      </c>
      <c r="D22" s="19" t="inlineStr">
        <is>
          <t>Low</t>
        </is>
      </c>
      <c r="E22" s="16" t="inlineStr">
        <is>
          <t>Functional</t>
        </is>
      </c>
      <c r="F22" s="16" t="inlineStr">
        <is>
          <t>More than 20 non-suggested patients in pool.</t>
        </is>
      </c>
      <c r="G22" s="16" t="inlineStr">
        <is>
          <t>1. Scroll the 'All Patients' section
2. Click 'Show more (N remaining)'</t>
        </is>
      </c>
      <c r="H22" s="16" t="inlineStr">
        <is>
          <t>N/A</t>
        </is>
      </c>
      <c r="I22" s="16" t="inlineStr">
        <is>
          <t>20 more cards are appended each click; the remaining count decreases until all are shown.</t>
        </is>
      </c>
      <c r="J22" s="16" t="inlineStr">
        <is>
          <t>N/A</t>
        </is>
      </c>
      <c r="K22" s="11" t="inlineStr"/>
      <c r="L22" s="12" t="inlineStr">
        <is>
          <t>Not Executed</t>
        </is>
      </c>
      <c r="M22" s="12" t="inlineStr"/>
      <c r="N22" s="12" t="inlineStr"/>
      <c r="O22" s="12" t="inlineStr"/>
      <c r="P22" s="11" t="inlineStr"/>
    </row>
    <row r="23" ht="45" customHeight="1">
      <c r="A23" s="15" t="inlineStr">
        <is>
          <t>SCH-022</t>
        </is>
      </c>
      <c r="B23" s="16" t="inlineStr">
        <is>
          <t>Weekly Planning Board</t>
        </is>
      </c>
      <c r="C23" s="16" t="inlineStr">
        <is>
          <t>Quick add patient to a day via sidebar day buttons</t>
        </is>
      </c>
      <c r="D23" s="17" t="inlineStr">
        <is>
          <t>High</t>
        </is>
      </c>
      <c r="E23" s="16" t="inlineStr">
        <is>
          <t>Functional</t>
        </is>
      </c>
      <c r="F23" s="16" t="inlineStr">
        <is>
          <t>Draft board.</t>
        </is>
      </c>
      <c r="G23" s="16" t="inlineStr">
        <is>
          <t>1. On a sidebar patient card click an unscheduled day button (e.g. 'Wed')</t>
        </is>
      </c>
      <c r="H23" s="16" t="inlineStr">
        <is>
          <t>N/A</t>
        </is>
      </c>
      <c r="I23" s="16" t="inlineStr">
        <is>
          <t>The Add Patient modal opens pre-filled with that patient and day. (Already-scheduled days show green and are disabled.)</t>
        </is>
      </c>
      <c r="J23" s="16" t="inlineStr">
        <is>
          <t>N/A (opens modal)</t>
        </is>
      </c>
      <c r="K23" s="11" t="inlineStr"/>
      <c r="L23" s="12" t="inlineStr">
        <is>
          <t>Not Executed</t>
        </is>
      </c>
      <c r="M23" s="12" t="inlineStr"/>
      <c r="N23" s="12" t="inlineStr"/>
      <c r="O23" s="12" t="inlineStr"/>
      <c r="P23" s="11" t="inlineStr"/>
    </row>
    <row r="24" ht="75" customHeight="1">
      <c r="A24" s="15" t="inlineStr">
        <is>
          <t>SCH-023</t>
        </is>
      </c>
      <c r="B24" s="16" t="inlineStr">
        <is>
          <t>Weekly Planning Board</t>
        </is>
      </c>
      <c r="C24" s="16" t="inlineStr">
        <is>
          <t>Add Patient modal adds a slot with time/duration/vehicle/notes</t>
        </is>
      </c>
      <c r="D24" s="17" t="inlineStr">
        <is>
          <t>High</t>
        </is>
      </c>
      <c r="E24" s="16" t="inlineStr">
        <is>
          <t>Functional</t>
        </is>
      </c>
      <c r="F24" s="16" t="inlineStr">
        <is>
          <t>Draft board; vehicles configured.</t>
        </is>
      </c>
      <c r="G24" s="16" t="inlineStr">
        <is>
          <t>1. Click 'Add Patient to Day'
2. Search &amp; select a patient, select a day
3. Pick a vehicle, set duration 45, select an available time slot, add a note
4. Click 'Add to Schedule'</t>
        </is>
      </c>
      <c r="H24" s="16" t="inlineStr">
        <is>
          <t>Duration 45, time 10:00, note 'First visit, wound care'</t>
        </is>
      </c>
      <c r="I24" s="16" t="inlineStr">
        <is>
          <t>Slot is created on the chosen day with the chosen vehicle/time/duration/note; the board refreshes and the slot card shows time, duration and vehicle. Modal closes.</t>
        </is>
      </c>
      <c r="J24" s="16" t="inlineStr">
        <is>
          <t>POST /api/saranam/scheduling/days/{dayId}/slots {patient_id, scheduled_time, visit_duration_minutes, vehicle_id, exception_note}</t>
        </is>
      </c>
      <c r="K24" s="11" t="inlineStr"/>
      <c r="L24" s="12" t="inlineStr">
        <is>
          <t>Not Executed</t>
        </is>
      </c>
      <c r="M24" s="12" t="inlineStr"/>
      <c r="N24" s="12" t="inlineStr"/>
      <c r="O24" s="12" t="inlineStr"/>
      <c r="P24" s="11" t="inlineStr"/>
    </row>
    <row r="25" ht="45" customHeight="1">
      <c r="A25" s="15" t="inlineStr">
        <is>
          <t>SCH-024</t>
        </is>
      </c>
      <c r="B25" s="16" t="inlineStr">
        <is>
          <t>Weekly Planning Board</t>
        </is>
      </c>
      <c r="C25" s="16" t="inlineStr">
        <is>
          <t>Add to Schedule disabled without patient and day</t>
        </is>
      </c>
      <c r="D25" s="18" t="inlineStr">
        <is>
          <t>Medium</t>
        </is>
      </c>
      <c r="E25" s="16" t="inlineStr">
        <is>
          <t>Validation</t>
        </is>
      </c>
      <c r="F25" s="16" t="inlineStr">
        <is>
          <t>Add Patient modal open.</t>
        </is>
      </c>
      <c r="G25" s="16" t="inlineStr">
        <is>
          <t>1. Open modal but do not select a patient and/or day
2. Observe the Add to Schedule button</t>
        </is>
      </c>
      <c r="H25" s="16" t="inlineStr">
        <is>
          <t>N/A</t>
        </is>
      </c>
      <c r="I25" s="16" t="inlineStr">
        <is>
          <t>Add to Schedule button is disabled until both a patient and a day are selected.</t>
        </is>
      </c>
      <c r="J25" s="16" t="inlineStr">
        <is>
          <t>N/A</t>
        </is>
      </c>
      <c r="K25" s="11" t="inlineStr"/>
      <c r="L25" s="12" t="inlineStr">
        <is>
          <t>Not Executed</t>
        </is>
      </c>
      <c r="M25" s="12" t="inlineStr"/>
      <c r="N25" s="12" t="inlineStr"/>
      <c r="O25" s="12" t="inlineStr"/>
      <c r="P25" s="11" t="inlineStr"/>
    </row>
    <row r="26" ht="45" customHeight="1">
      <c r="A26" s="15" t="inlineStr">
        <is>
          <t>SCH-025</t>
        </is>
      </c>
      <c r="B26" s="16" t="inlineStr">
        <is>
          <t>Weekly Planning Board</t>
        </is>
      </c>
      <c r="C26" s="16" t="inlineStr">
        <is>
          <t>Visit duration is clamped to 15-180 minutes</t>
        </is>
      </c>
      <c r="D26" s="19" t="inlineStr">
        <is>
          <t>Low</t>
        </is>
      </c>
      <c r="E26" s="16" t="inlineStr">
        <is>
          <t>Validation</t>
        </is>
      </c>
      <c r="F26" s="16" t="inlineStr">
        <is>
          <t>Add Patient modal open.</t>
        </is>
      </c>
      <c r="G26" s="16" t="inlineStr">
        <is>
          <t>1. Type 5 then 999 then 'abc' in the Visit Duration field</t>
        </is>
      </c>
      <c r="H26" s="16" t="inlineStr">
        <is>
          <t>5, 999, abc</t>
        </is>
      </c>
      <c r="I26" s="16" t="inlineStr">
        <is>
          <t>Duration clamps to a minimum of 15 and maximum of 180; non-numeric input falls back to 60.</t>
        </is>
      </c>
      <c r="J26" s="16" t="inlineStr">
        <is>
          <t>N/A</t>
        </is>
      </c>
      <c r="K26" s="11" t="inlineStr"/>
      <c r="L26" s="12" t="inlineStr">
        <is>
          <t>Not Executed</t>
        </is>
      </c>
      <c r="M26" s="12" t="inlineStr"/>
      <c r="N26" s="12" t="inlineStr"/>
      <c r="O26" s="12" t="inlineStr"/>
      <c r="P26" s="11" t="inlineStr"/>
    </row>
    <row r="27" ht="75" customHeight="1">
      <c r="A27" s="15" t="inlineStr">
        <is>
          <t>SCH-026</t>
        </is>
      </c>
      <c r="B27" s="16" t="inlineStr">
        <is>
          <t>Weekly Planning Board</t>
        </is>
      </c>
      <c r="C27" s="16" t="inlineStr">
        <is>
          <t>Occupied time slots are disabled (double-book prevention)</t>
        </is>
      </c>
      <c r="D27" s="17" t="inlineStr">
        <is>
          <t>High</t>
        </is>
      </c>
      <c r="E27" s="16" t="inlineStr">
        <is>
          <t>Validation</t>
        </is>
      </c>
      <c r="F27" s="16" t="inlineStr">
        <is>
          <t>A day already has a slot at e.g. 10:00 for 60 min on a vehicle.</t>
        </is>
      </c>
      <c r="G27" s="16" t="inlineStr">
        <is>
          <t>1. Open Add Patient modal, select that day and the same vehicle
2. Inspect the time slot grid</t>
        </is>
      </c>
      <c r="H27" s="16" t="inlineStr">
        <is>
          <t>Existing 10:00 / 60 min visit</t>
        </is>
      </c>
      <c r="I27" s="16" t="inlineStr">
        <is>
          <t>Times overlapping the existing visit (10:00, 10:30) appear struck-through and disabled for the same vehicle; selecting a different vehicle frees those slots (independent vehicle timelines).</t>
        </is>
      </c>
      <c r="J27" s="16" t="inlineStr">
        <is>
          <t>N/A (client conflict check)</t>
        </is>
      </c>
      <c r="K27" s="11" t="inlineStr"/>
      <c r="L27" s="12" t="inlineStr">
        <is>
          <t>Not Executed</t>
        </is>
      </c>
      <c r="M27" s="12" t="inlineStr"/>
      <c r="N27" s="12" t="inlineStr"/>
      <c r="O27" s="12" t="inlineStr"/>
      <c r="P27" s="11" t="inlineStr"/>
    </row>
    <row r="28" ht="45" customHeight="1">
      <c r="A28" s="15" t="inlineStr">
        <is>
          <t>SCH-027</t>
        </is>
      </c>
      <c r="B28" s="16" t="inlineStr">
        <is>
          <t>Weekly Planning Board</t>
        </is>
      </c>
      <c r="C28" s="16" t="inlineStr">
        <is>
          <t>Time conflict warning when overlapping an existing visit</t>
        </is>
      </c>
      <c r="D28" s="18" t="inlineStr">
        <is>
          <t>Medium</t>
        </is>
      </c>
      <c r="E28" s="16" t="inlineStr">
        <is>
          <t>Validation</t>
        </is>
      </c>
      <c r="F28" s="16" t="inlineStr">
        <is>
          <t>Day with an existing visit.</t>
        </is>
      </c>
      <c r="G28" s="16" t="inlineStr">
        <is>
          <t>1. Pick a duration and a start time that overlaps the existing visit window</t>
        </is>
      </c>
      <c r="H28" s="16" t="inlineStr">
        <is>
          <t>N/A</t>
        </is>
      </c>
      <c r="I28" s="16" t="inlineStr">
        <is>
          <t>An amber warning Alert 'This time overlaps with an existing visit - there may be a conflict.' is shown.</t>
        </is>
      </c>
      <c r="J28" s="16" t="inlineStr">
        <is>
          <t>N/A</t>
        </is>
      </c>
      <c r="K28" s="11" t="inlineStr"/>
      <c r="L28" s="12" t="inlineStr">
        <is>
          <t>Not Executed</t>
        </is>
      </c>
      <c r="M28" s="12" t="inlineStr"/>
      <c r="N28" s="12" t="inlineStr"/>
      <c r="O28" s="12" t="inlineStr"/>
      <c r="P28" s="11" t="inlineStr"/>
    </row>
    <row r="29" ht="60" customHeight="1">
      <c r="A29" s="15" t="inlineStr">
        <is>
          <t>SCH-028</t>
        </is>
      </c>
      <c r="B29" s="16" t="inlineStr">
        <is>
          <t>Weekly Planning Board</t>
        </is>
      </c>
      <c r="C29" s="16" t="inlineStr">
        <is>
          <t>Travel-time warnings flag tight slots (red/amber)</t>
        </is>
      </c>
      <c r="D29" s="18" t="inlineStr">
        <is>
          <t>Medium</t>
        </is>
      </c>
      <c r="E29" s="16" t="inlineStr">
        <is>
          <t>Edge Case</t>
        </is>
      </c>
      <c r="F29" s="16" t="inlineStr">
        <is>
          <t>Day already has GPS patients with scheduled times; selected patient has GPS far away.</t>
        </is>
      </c>
      <c r="G29" s="16" t="inlineStr">
        <is>
          <t>1. Select a far patient and day with existing timed visits
2. Hover time slots and observe markers + selecting a tight slot</t>
        </is>
      </c>
      <c r="H29" s="16" t="inlineStr">
        <is>
          <t>Far-apart GPS patients</t>
        </is>
      </c>
      <c r="I29" s="16" t="inlineStr">
        <is>
          <t>Time slots that cannot be reached in time show a red/amber dot and tooltip estimating travel minutes/distance; selecting one shows a 'Travel warning' Alert.</t>
        </is>
      </c>
      <c r="J29" s="16" t="inlineStr">
        <is>
          <t>N/A (client haversine estimate)</t>
        </is>
      </c>
      <c r="K29" s="11" t="inlineStr"/>
      <c r="L29" s="12" t="inlineStr">
        <is>
          <t>Not Executed</t>
        </is>
      </c>
      <c r="M29" s="12" t="inlineStr"/>
      <c r="N29" s="12" t="inlineStr"/>
      <c r="O29" s="12" t="inlineStr"/>
      <c r="P29" s="11" t="inlineStr"/>
    </row>
    <row r="30" ht="75" customHeight="1">
      <c r="A30" s="15" t="inlineStr">
        <is>
          <t>SCH-029</t>
        </is>
      </c>
      <c r="B30" s="16" t="inlineStr">
        <is>
          <t>Weekly Planning Board</t>
        </is>
      </c>
      <c r="C30" s="16" t="inlineStr">
        <is>
          <t>Distance-to-scheduled-patients and hospital distance display</t>
        </is>
      </c>
      <c r="D30" s="19" t="inlineStr">
        <is>
          <t>Low</t>
        </is>
      </c>
      <c r="E30" s="16" t="inlineStr">
        <is>
          <t>UI/UX</t>
        </is>
      </c>
      <c r="F30" s="16" t="inlineStr">
        <is>
          <t>Selected patient and day have GPS; other timed patients on day have GPS.</t>
        </is>
      </c>
      <c r="G30" s="16" t="inlineStr">
        <is>
          <t>1. In Add Patient modal select a patient with GPS and a day with other GPS patients</t>
        </is>
      </c>
      <c r="H30" s="16" t="inlineStr">
        <is>
          <t>N/A</t>
        </is>
      </c>
      <c r="I30" s="16" t="inlineStr">
        <is>
          <t>Selected patient card shows distance from its linked hospital (green tick within radius / amber cross outside) and a list of km distances to other patients already scheduled that day.</t>
        </is>
      </c>
      <c r="J30" s="16" t="inlineStr">
        <is>
          <t>N/A</t>
        </is>
      </c>
      <c r="K30" s="11" t="inlineStr"/>
      <c r="L30" s="12" t="inlineStr">
        <is>
          <t>Not Executed</t>
        </is>
      </c>
      <c r="M30" s="12" t="inlineStr"/>
      <c r="N30" s="12" t="inlineStr"/>
      <c r="O30" s="12" t="inlineStr"/>
      <c r="P30" s="11" t="inlineStr"/>
    </row>
    <row r="31" ht="60" customHeight="1">
      <c r="A31" s="15" t="inlineStr">
        <is>
          <t>SCH-030</t>
        </is>
      </c>
      <c r="B31" s="16" t="inlineStr">
        <is>
          <t>Weekly Planning Board</t>
        </is>
      </c>
      <c r="C31" s="16" t="inlineStr">
        <is>
          <t>Smart vehicle suggestion appears in Add Patient modal</t>
        </is>
      </c>
      <c r="D31" s="19" t="inlineStr">
        <is>
          <t>Low</t>
        </is>
      </c>
      <c r="E31" s="16" t="inlineStr">
        <is>
          <t>Functional</t>
        </is>
      </c>
      <c r="F31" s="16" t="inlineStr">
        <is>
          <t>Two+ vehicles; day has slots on one vehicle in the patient's zone.</t>
        </is>
      </c>
      <c r="G31" s="16" t="inlineStr">
        <is>
          <t>1. Select a patient whose zone matches a vehicle already routed that day</t>
        </is>
      </c>
      <c r="H31" s="16" t="inlineStr">
        <is>
          <t>N/A</t>
        </is>
      </c>
      <c r="I31" s="16" t="inlineStr">
        <is>
          <t>A blue 'Use &lt;Vehicle&gt;' suggestion banner appears explaining the vehicle already has same-zone patients; clicking it sets the vehicle dropdown.</t>
        </is>
      </c>
      <c r="J31" s="16" t="inlineStr">
        <is>
          <t>N/A</t>
        </is>
      </c>
      <c r="K31" s="11" t="inlineStr"/>
      <c r="L31" s="12" t="inlineStr">
        <is>
          <t>Not Executed</t>
        </is>
      </c>
      <c r="M31" s="12" t="inlineStr"/>
      <c r="N31" s="12" t="inlineStr"/>
      <c r="O31" s="12" t="inlineStr"/>
      <c r="P31" s="11" t="inlineStr"/>
    </row>
    <row r="32" ht="45" customHeight="1">
      <c r="A32" s="15" t="inlineStr">
        <is>
          <t>SCH-031</t>
        </is>
      </c>
      <c r="B32" s="16" t="inlineStr">
        <is>
          <t>Weekly Planning Board</t>
        </is>
      </c>
      <c r="C32" s="16" t="inlineStr">
        <is>
          <t>Drag-and-drop move slot across days</t>
        </is>
      </c>
      <c r="D32" s="17" t="inlineStr">
        <is>
          <t>High</t>
        </is>
      </c>
      <c r="E32" s="16" t="inlineStr">
        <is>
          <t>Functional</t>
        </is>
      </c>
      <c r="F32" s="16" t="inlineStr">
        <is>
          <t>Draft board with a slot on Monday.</t>
        </is>
      </c>
      <c r="G32" s="16" t="inlineStr">
        <is>
          <t>1. Drag a slot card from the Monday column and drop it onto the Wednesday column</t>
        </is>
      </c>
      <c r="H32" s="16" t="inlineStr">
        <is>
          <t>N/A</t>
        </is>
      </c>
      <c r="I32" s="16" t="inlineStr">
        <is>
          <t>Slot moves to Wednesday; saving bar shows; board reloads with the slot now under Wednesday.</t>
        </is>
      </c>
      <c r="J32" s="16" t="inlineStr">
        <is>
          <t>POST /api/saranam/scheduling/slots/{slotId}/move {to_day_id, new_slot_order:0}</t>
        </is>
      </c>
      <c r="K32" s="11" t="inlineStr"/>
      <c r="L32" s="12" t="inlineStr">
        <is>
          <t>Not Executed</t>
        </is>
      </c>
      <c r="M32" s="12" t="inlineStr"/>
      <c r="N32" s="12" t="inlineStr"/>
      <c r="O32" s="12" t="inlineStr"/>
      <c r="P32" s="11" t="inlineStr"/>
    </row>
    <row r="33" ht="60" customHeight="1">
      <c r="A33" s="15" t="inlineStr">
        <is>
          <t>SCH-032</t>
        </is>
      </c>
      <c r="B33" s="16" t="inlineStr">
        <is>
          <t>Weekly Planning Board</t>
        </is>
      </c>
      <c r="C33" s="16" t="inlineStr">
        <is>
          <t>Drag-and-drop reorder slots within a day</t>
        </is>
      </c>
      <c r="D33" s="17" t="inlineStr">
        <is>
          <t>High</t>
        </is>
      </c>
      <c r="E33" s="16" t="inlineStr">
        <is>
          <t>Functional</t>
        </is>
      </c>
      <c r="F33" s="16" t="inlineStr">
        <is>
          <t>Draft board with 2+ slots on the same day.</t>
        </is>
      </c>
      <c r="G33" s="16" t="inlineStr">
        <is>
          <t>1. Drag a slot above/below another within the same day column
2. Observe the live km preview while dragging then drop</t>
        </is>
      </c>
      <c r="H33" s="16" t="inlineStr">
        <is>
          <t>N/A</t>
        </is>
      </c>
      <c r="I33" s="16" t="inlineStr">
        <is>
          <t>Order changes and persists; during drag a route km preview (current -&gt; preview, with delta) shows in the day header. Reorder is saved.</t>
        </is>
      </c>
      <c r="J33" s="16" t="inlineStr">
        <is>
          <t>POST /api/saranam/scheduling/days/{dayId}/reorder {slot_ids:[...]}</t>
        </is>
      </c>
      <c r="K33" s="11" t="inlineStr"/>
      <c r="L33" s="12" t="inlineStr">
        <is>
          <t>Not Executed</t>
        </is>
      </c>
      <c r="M33" s="12" t="inlineStr"/>
      <c r="N33" s="12" t="inlineStr"/>
      <c r="O33" s="12" t="inlineStr"/>
      <c r="P33" s="11" t="inlineStr"/>
    </row>
    <row r="34" ht="60" customHeight="1">
      <c r="A34" s="15" t="inlineStr">
        <is>
          <t>SCH-033</t>
        </is>
      </c>
      <c r="B34" s="16" t="inlineStr">
        <is>
          <t>Weekly Planning Board</t>
        </is>
      </c>
      <c r="C34" s="16" t="inlineStr">
        <is>
          <t>Drag-and-drop is disabled for non-draft schedules</t>
        </is>
      </c>
      <c r="D34" s="18" t="inlineStr">
        <is>
          <t>Medium</t>
        </is>
      </c>
      <c r="E34" s="16" t="inlineStr">
        <is>
          <t>Permission</t>
        </is>
      </c>
      <c r="F34" s="16" t="inlineStr">
        <is>
          <t>A submitted/approved/in_progress schedule open on the board.</t>
        </is>
      </c>
      <c r="G34" s="16" t="inlineStr">
        <is>
          <t>1. Open a non-draft schedule and attempt to drag a slot</t>
        </is>
      </c>
      <c r="H34" s="16" t="inlineStr">
        <is>
          <t>N/A</t>
        </is>
      </c>
      <c r="I34" s="16" t="inlineStr">
        <is>
          <t>Slots are not draggable (no grip handle / drag ignored); sidebar pool is hidden; no move/reorder API fires. Slot remove (X) is also hidden.</t>
        </is>
      </c>
      <c r="J34" s="16" t="inlineStr">
        <is>
          <t>N/A</t>
        </is>
      </c>
      <c r="K34" s="11" t="inlineStr"/>
      <c r="L34" s="12" t="inlineStr">
        <is>
          <t>Not Executed</t>
        </is>
      </c>
      <c r="M34" s="12" t="inlineStr"/>
      <c r="N34" s="12" t="inlineStr"/>
      <c r="O34" s="12" t="inlineStr"/>
      <c r="P34" s="11" t="inlineStr"/>
    </row>
    <row r="35" ht="30" customHeight="1">
      <c r="A35" s="15" t="inlineStr">
        <is>
          <t>SCH-034</t>
        </is>
      </c>
      <c r="B35" s="16" t="inlineStr">
        <is>
          <t>Weekly Planning Board</t>
        </is>
      </c>
      <c r="C35" s="16" t="inlineStr">
        <is>
          <t>Remove a slot from a day (draft only)</t>
        </is>
      </c>
      <c r="D35" s="17" t="inlineStr">
        <is>
          <t>High</t>
        </is>
      </c>
      <c r="E35" s="16" t="inlineStr">
        <is>
          <t>Functional</t>
        </is>
      </c>
      <c r="F35" s="16" t="inlineStr">
        <is>
          <t>Draft board with slots.</t>
        </is>
      </c>
      <c r="G35" s="16" t="inlineStr">
        <is>
          <t>1. Hover a slot card and click the X remove icon</t>
        </is>
      </c>
      <c r="H35" s="16" t="inlineStr">
        <is>
          <t>Reason auto 'Removed from planning board'</t>
        </is>
      </c>
      <c r="I35" s="16" t="inlineStr">
        <is>
          <t>Slot is removed; board reloads without it. Audit entry created server-side.</t>
        </is>
      </c>
      <c r="J35" s="16" t="inlineStr">
        <is>
          <t>DELETE /api/saranam/scheduling/slots/{slotId} {reason}</t>
        </is>
      </c>
      <c r="K35" s="11" t="inlineStr"/>
      <c r="L35" s="12" t="inlineStr">
        <is>
          <t>Not Executed</t>
        </is>
      </c>
      <c r="M35" s="12" t="inlineStr"/>
      <c r="N35" s="12" t="inlineStr"/>
      <c r="O35" s="12" t="inlineStr"/>
      <c r="P35" s="11" t="inlineStr"/>
    </row>
    <row r="36" ht="75" customHeight="1">
      <c r="A36" s="15" t="inlineStr">
        <is>
          <t>SCH-035</t>
        </is>
      </c>
      <c r="B36" s="16" t="inlineStr">
        <is>
          <t>Weekly Planning Board</t>
        </is>
      </c>
      <c r="C36" s="16" t="inlineStr">
        <is>
          <t>Optimize route button reorders by nearest-neighbour / Google</t>
        </is>
      </c>
      <c r="D36" s="18" t="inlineStr">
        <is>
          <t>Medium</t>
        </is>
      </c>
      <c r="E36" s="16" t="inlineStr">
        <is>
          <t>Functional</t>
        </is>
      </c>
      <c r="F36" s="16" t="inlineStr">
        <is>
          <t>Draft day with 2+ GPS patients.</t>
        </is>
      </c>
      <c r="G36" s="16" t="inlineStr">
        <is>
          <t>1. Click the Route (optimize) icon in a day header</t>
        </is>
      </c>
      <c r="H36" s="16" t="inlineStr">
        <is>
          <t>N/A</t>
        </is>
      </c>
      <c r="I36" s="16" t="inlineStr">
        <is>
          <t>Slots reorder for shortest route; a flash badge shows before -&gt; after km and km saved for ~5s. Uses Google Directions optimizeWaypoints when Maps loaded, else nearest-neighbour fallback.</t>
        </is>
      </c>
      <c r="J36" s="16" t="inlineStr">
        <is>
          <t>POST /api/saranam/scheduling/days/{dayId}/reorder</t>
        </is>
      </c>
      <c r="K36" s="11" t="inlineStr"/>
      <c r="L36" s="12" t="inlineStr">
        <is>
          <t>Not Executed</t>
        </is>
      </c>
      <c r="M36" s="12" t="inlineStr"/>
      <c r="N36" s="12" t="inlineStr"/>
      <c r="O36" s="12" t="inlineStr"/>
      <c r="P36" s="11" t="inlineStr"/>
    </row>
    <row r="37" ht="75" customHeight="1">
      <c r="A37" s="15" t="inlineStr">
        <is>
          <t>SCH-036</t>
        </is>
      </c>
      <c r="B37" s="16" t="inlineStr">
        <is>
          <t>Weekly Planning Board</t>
        </is>
      </c>
      <c r="C37" s="16" t="inlineStr">
        <is>
          <t>Suggest Patients on an empty day proposes zone-based assignments</t>
        </is>
      </c>
      <c r="D37" s="18" t="inlineStr">
        <is>
          <t>Medium</t>
        </is>
      </c>
      <c r="E37" s="16" t="inlineStr">
        <is>
          <t>Functional</t>
        </is>
      </c>
      <c r="F37" s="16" t="inlineStr">
        <is>
          <t>Draft board; an empty day; unscheduled GPS patients in pool.</t>
        </is>
      </c>
      <c r="G37" s="16" t="inlineStr">
        <is>
          <t>1. On an empty day click 'Suggest Patients'
2. Review recommendation options</t>
        </is>
      </c>
      <c r="H37" s="16" t="inlineStr">
        <is>
          <t>N/A</t>
        </is>
      </c>
      <c r="I37" s="16" t="inlineStr">
        <is>
          <t>A Recommendations panel lists zone options each with estimated total km and per-vehicle patient breakdown, sorted by lowest km. 'All patients are scheduled' shows when none remain. Dismiss closes the panel.</t>
        </is>
      </c>
      <c r="J37" s="16" t="inlineStr">
        <is>
          <t>N/A (client computation over pool)</t>
        </is>
      </c>
      <c r="K37" s="11" t="inlineStr"/>
      <c r="L37" s="12" t="inlineStr">
        <is>
          <t>Not Executed</t>
        </is>
      </c>
      <c r="M37" s="12" t="inlineStr"/>
      <c r="N37" s="12" t="inlineStr"/>
      <c r="O37" s="12" t="inlineStr"/>
      <c r="P37" s="11" t="inlineStr"/>
    </row>
    <row r="38" ht="60" customHeight="1">
      <c r="A38" s="15" t="inlineStr">
        <is>
          <t>SCH-037</t>
        </is>
      </c>
      <c r="B38" s="16" t="inlineStr">
        <is>
          <t>Weekly Planning Board</t>
        </is>
      </c>
      <c r="C38" s="16" t="inlineStr">
        <is>
          <t>Accept a suggestion adds patients with sequential times</t>
        </is>
      </c>
      <c r="D38" s="18" t="inlineStr">
        <is>
          <t>Medium</t>
        </is>
      </c>
      <c r="E38" s="16" t="inlineStr">
        <is>
          <t>Functional</t>
        </is>
      </c>
      <c r="F38" s="16" t="inlineStr">
        <is>
          <t>Suggestion panel open with at least one option.</t>
        </is>
      </c>
      <c r="G38" s="16" t="inlineStr">
        <is>
          <t>1. Click 'Accept (N patients, M vehicles)' on an option</t>
        </is>
      </c>
      <c r="H38" s="16" t="inlineStr">
        <is>
          <t>N/A</t>
        </is>
      </c>
      <c r="I38" s="16" t="inlineStr">
        <is>
          <t>Each suggested patient is added to the day with its vehicle, starting 09:00 and incrementing hourly, duration 60; board reloads and panel closes.</t>
        </is>
      </c>
      <c r="J38" s="16" t="inlineStr">
        <is>
          <t>POST /api/saranam/scheduling/days/{dayId}/slots (one call per patient)</t>
        </is>
      </c>
      <c r="K38" s="11" t="inlineStr"/>
      <c r="L38" s="12" t="inlineStr">
        <is>
          <t>Not Executed</t>
        </is>
      </c>
      <c r="M38" s="12" t="inlineStr"/>
      <c r="N38" s="12" t="inlineStr"/>
      <c r="O38" s="12" t="inlineStr"/>
      <c r="P38" s="11" t="inlineStr"/>
    </row>
    <row r="39" ht="60" customHeight="1">
      <c r="A39" s="15" t="inlineStr">
        <is>
          <t>SCH-038</t>
        </is>
      </c>
      <c r="B39" s="16" t="inlineStr">
        <is>
          <t>Weekly Planning Board</t>
        </is>
      </c>
      <c r="C39" s="16" t="inlineStr">
        <is>
          <t>Capacity indicator turns warning/error as day fills</t>
        </is>
      </c>
      <c r="D39" s="18" t="inlineStr">
        <is>
          <t>Medium</t>
        </is>
      </c>
      <c r="E39" s="16" t="inlineStr">
        <is>
          <t>UI/UX</t>
        </is>
      </c>
      <c r="F39" s="16" t="inlineStr">
        <is>
          <t>Config max_patients_per_vehicle_per_day known; multiple vehicles.</t>
        </is>
      </c>
      <c r="G39" s="16" t="inlineStr">
        <is>
          <t>1. Add patients to a day until count equals then exceeds maxPatients (max_per_vehicle x vehicles)</t>
        </is>
      </c>
      <c r="H39" s="16" t="inlineStr">
        <is>
          <t>N/A</t>
        </is>
      </c>
      <c r="I39" s="16" t="inlineStr">
        <is>
          <t>The N/max chip is default below max, warning (amber) at max, and error (red) above max. The backend still accepts adds (soft limit / UI warning).</t>
        </is>
      </c>
      <c r="J39" s="16" t="inlineStr">
        <is>
          <t>N/A</t>
        </is>
      </c>
      <c r="K39" s="11" t="inlineStr"/>
      <c r="L39" s="12" t="inlineStr">
        <is>
          <t>Not Executed</t>
        </is>
      </c>
      <c r="M39" s="12" t="inlineStr"/>
      <c r="N39" s="12" t="inlineStr"/>
      <c r="O39" s="12" t="inlineStr"/>
      <c r="P39" s="11" t="inlineStr"/>
    </row>
    <row r="40" ht="75" customHeight="1">
      <c r="A40" s="15" t="inlineStr">
        <is>
          <t>SCH-039</t>
        </is>
      </c>
      <c r="B40" s="16" t="inlineStr">
        <is>
          <t>Weekly Planning Board</t>
        </is>
      </c>
      <c r="C40" s="16" t="inlineStr">
        <is>
          <t>Team assignment add/remove per day and vehicle</t>
        </is>
      </c>
      <c r="D40" s="17" t="inlineStr">
        <is>
          <t>High</t>
        </is>
      </c>
      <c r="E40" s="16" t="inlineStr">
        <is>
          <t>Functional</t>
        </is>
      </c>
      <c r="F40" s="16" t="inlineStr">
        <is>
          <t>Board with slots; providers with specializations exist.</t>
        </is>
      </c>
      <c r="G40" s="16" t="inlineStr">
        <is>
          <t>1. Expand 'Team Assignments'
2. For a day/vehicle click 'Add Team Member', pick a specialization then a provider
3. Then remove one member via its X</t>
        </is>
      </c>
      <c r="H40" s="16" t="inlineStr">
        <is>
          <t>Specialization 'Nursing' -&gt; provider e.g. 'Sr. Mary Joseph'</t>
        </is>
      </c>
      <c r="I40" s="16" t="inlineStr">
        <is>
          <t>Member is added under the day/vehicle and persists after reload; removing posts the updated assignments list. Each vehicle group shows its own team when multiple vehicles are used.</t>
        </is>
      </c>
      <c r="J40" s="16" t="inlineStr">
        <is>
          <t>PUT /api/saranam/scheduling/days/{dayId}/team {assignments, vehicle_id}</t>
        </is>
      </c>
      <c r="K40" s="11" t="inlineStr"/>
      <c r="L40" s="12" t="inlineStr">
        <is>
          <t>Not Executed</t>
        </is>
      </c>
      <c r="M40" s="12" t="inlineStr"/>
      <c r="N40" s="12" t="inlineStr"/>
      <c r="O40" s="12" t="inlineStr"/>
      <c r="P40" s="11" t="inlineStr"/>
    </row>
    <row r="41" ht="60" customHeight="1">
      <c r="A41" s="15" t="inlineStr">
        <is>
          <t>SCH-040</t>
        </is>
      </c>
      <c r="B41" s="16" t="inlineStr">
        <is>
          <t>Weekly Planning Board</t>
        </is>
      </c>
      <c r="C41" s="16" t="inlineStr">
        <is>
          <t>View toggle Split / Schedule Only / Map Only</t>
        </is>
      </c>
      <c r="D41" s="19" t="inlineStr">
        <is>
          <t>Low</t>
        </is>
      </c>
      <c r="E41" s="16" t="inlineStr">
        <is>
          <t>UI/UX</t>
        </is>
      </c>
      <c r="F41" s="16" t="inlineStr">
        <is>
          <t>Board with days having patients.</t>
        </is>
      </c>
      <c r="G41" s="16" t="inlineStr">
        <is>
          <t>1. Click Split View, then Schedule Only, then Map Only</t>
        </is>
      </c>
      <c r="H41" s="16" t="inlineStr">
        <is>
          <t>N/A</t>
        </is>
      </c>
      <c r="I41" s="16" t="inlineStr">
        <is>
          <t>Split shows columns + side map; Schedule Only hides the map; Map Only shows a full-width route map. Active toggle is highlighted blue.</t>
        </is>
      </c>
      <c r="J41" s="16" t="inlineStr">
        <is>
          <t>N/A</t>
        </is>
      </c>
      <c r="K41" s="11" t="inlineStr"/>
      <c r="L41" s="12" t="inlineStr">
        <is>
          <t>Not Executed</t>
        </is>
      </c>
      <c r="M41" s="12" t="inlineStr"/>
      <c r="N41" s="12" t="inlineStr"/>
      <c r="O41" s="12" t="inlineStr"/>
      <c r="P41" s="11" t="inlineStr"/>
    </row>
    <row r="42" ht="60" customHeight="1">
      <c r="A42" s="15" t="inlineStr">
        <is>
          <t>SCH-041</t>
        </is>
      </c>
      <c r="B42" s="16" t="inlineStr">
        <is>
          <t>Weekly Planning Board</t>
        </is>
      </c>
      <c r="C42" s="16" t="inlineStr">
        <is>
          <t>Route map day navigation (prev/next) and day selection</t>
        </is>
      </c>
      <c r="D42" s="18" t="inlineStr">
        <is>
          <t>Medium</t>
        </is>
      </c>
      <c r="E42" s="16" t="inlineStr">
        <is>
          <t>Functional</t>
        </is>
      </c>
      <c r="F42" s="16" t="inlineStr">
        <is>
          <t>Board with multiple days.</t>
        </is>
      </c>
      <c r="G42" s="16" t="inlineStr">
        <is>
          <t>1. Click a day column to select it (map updates)
2. Use the map's ChevronLeft/Right to step through days
3. Confirm arrows disable at first/last day</t>
        </is>
      </c>
      <c r="H42" s="16" t="inlineStr">
        <is>
          <t>N/A</t>
        </is>
      </c>
      <c r="I42" s="16" t="inlineStr">
        <is>
          <t>Map shows the selected day's slots; clicking a column or prev/next changes the mapped day; left arrow disabled on first day, right arrow on last.</t>
        </is>
      </c>
      <c r="J42" s="16" t="inlineStr">
        <is>
          <t>N/A</t>
        </is>
      </c>
      <c r="K42" s="11" t="inlineStr"/>
      <c r="L42" s="12" t="inlineStr">
        <is>
          <t>Not Executed</t>
        </is>
      </c>
      <c r="M42" s="12" t="inlineStr"/>
      <c r="N42" s="12" t="inlineStr"/>
      <c r="O42" s="12" t="inlineStr"/>
      <c r="P42" s="11" t="inlineStr"/>
    </row>
    <row r="43" ht="75" customHeight="1">
      <c r="A43" s="15" t="inlineStr">
        <is>
          <t>SCH-042</t>
        </is>
      </c>
      <c r="B43" s="16" t="inlineStr">
        <is>
          <t>Weekly Planning Board</t>
        </is>
      </c>
      <c r="C43" s="16" t="inlineStr">
        <is>
          <t>Stats bar: BSC coverage, scheduled count, cluster efficiency, overdue alerts</t>
        </is>
      </c>
      <c r="D43" s="18" t="inlineStr">
        <is>
          <t>Medium</t>
        </is>
      </c>
      <c r="E43" s="16" t="inlineStr">
        <is>
          <t>Functional</t>
        </is>
      </c>
      <c r="F43" s="16" t="inlineStr">
        <is>
          <t>Pool with BSC patients and patients with days_since_last_visit &gt;=20 and &gt;=30.</t>
        </is>
      </c>
      <c r="G43" s="16" t="inlineStr">
        <is>
          <t>1. Observe the stats bar at the top of the board</t>
        </is>
      </c>
      <c r="H43" s="16" t="inlineStr">
        <is>
          <t>N/A</t>
        </is>
      </c>
      <c r="I43" s="16" t="inlineStr">
        <is>
          <t>Shows overdue (30d+) and approaching (20-29d) alert chips when present, BSC coverage progress + ratio %, total patients scheduled, average cluster efficiency %, and hospital/service-radius info.</t>
        </is>
      </c>
      <c r="J43" s="16" t="inlineStr">
        <is>
          <t>N/A (derived from /schedules + /patient-pool)</t>
        </is>
      </c>
      <c r="K43" s="11" t="inlineStr"/>
      <c r="L43" s="12" t="inlineStr">
        <is>
          <t>Not Executed</t>
        </is>
      </c>
      <c r="M43" s="12" t="inlineStr"/>
      <c r="N43" s="12" t="inlineStr"/>
      <c r="O43" s="12" t="inlineStr"/>
      <c r="P43" s="11" t="inlineStr"/>
    </row>
    <row r="44" ht="45" customHeight="1">
      <c r="A44" s="15" t="inlineStr">
        <is>
          <t>SCH-043</t>
        </is>
      </c>
      <c r="B44" s="16" t="inlineStr">
        <is>
          <t>Weekly Planning Board</t>
        </is>
      </c>
      <c r="C44" s="16" t="inlineStr">
        <is>
          <t>Refresh on board re-fetches schedule, pool and team</t>
        </is>
      </c>
      <c r="D44" s="19" t="inlineStr">
        <is>
          <t>Low</t>
        </is>
      </c>
      <c r="E44" s="16" t="inlineStr">
        <is>
          <t>Functional</t>
        </is>
      </c>
      <c r="F44" s="16" t="inlineStr">
        <is>
          <t>Board open.</t>
        </is>
      </c>
      <c r="G44" s="16" t="inlineStr">
        <is>
          <t>1. Click the RefreshCw icon in the board header</t>
        </is>
      </c>
      <c r="H44" s="16" t="inlineStr">
        <is>
          <t>N/A</t>
        </is>
      </c>
      <c r="I44" s="16" t="inlineStr">
        <is>
          <t>Schedule, pool and team reload; saving/loading indicators show briefly; UI reflects latest data.</t>
        </is>
      </c>
      <c r="J44" s="16" t="inlineStr">
        <is>
          <t>GET /schedules/{id}; GET /patient-pool; GET /available-team</t>
        </is>
      </c>
      <c r="K44" s="11" t="inlineStr"/>
      <c r="L44" s="12" t="inlineStr">
        <is>
          <t>Not Executed</t>
        </is>
      </c>
      <c r="M44" s="12" t="inlineStr"/>
      <c r="N44" s="12" t="inlineStr"/>
      <c r="O44" s="12" t="inlineStr"/>
      <c r="P44" s="11" t="inlineStr"/>
    </row>
    <row r="45" ht="75" customHeight="1">
      <c r="A45" s="8" t="inlineStr">
        <is>
          <t>SCH-044</t>
        </is>
      </c>
      <c r="B45" s="9" t="inlineStr">
        <is>
          <t>Lifecycle: Submit</t>
        </is>
      </c>
      <c r="C45" s="9" t="inlineStr">
        <is>
          <t>Submit for Approval shows validation then submits (draft -&gt; submitted)</t>
        </is>
      </c>
      <c r="D45" s="10" t="inlineStr">
        <is>
          <t>High</t>
        </is>
      </c>
      <c r="E45" s="9" t="inlineStr">
        <is>
          <t>Functional</t>
        </is>
      </c>
      <c r="F45" s="9" t="inlineStr">
        <is>
          <t>Open a draft schedule with assignments.</t>
        </is>
      </c>
      <c r="G45" s="9" t="inlineStr">
        <is>
          <t>1. Click 'Submit for Approval'
2. Review validation warnings/messages in the dialog
3. Add an optional note
4. Click Submit</t>
        </is>
      </c>
      <c r="H45" s="9" t="inlineStr">
        <is>
          <t>Note 'Ready for Dr. review'</t>
        </is>
      </c>
      <c r="I45" s="9" t="inlineStr">
        <is>
          <t>Validation runs first; dialog lists warnings (or 'validation passed with no warnings'). On Submit the status changes to Submitted, header buttons switch to Approve/Send Back, and the board reloads.</t>
        </is>
      </c>
      <c r="J45" s="9" t="inlineStr">
        <is>
          <t>GET /schedules/{id}/validate then POST /schedules/{id}/submit {note}</t>
        </is>
      </c>
      <c r="K45" s="11" t="inlineStr"/>
      <c r="L45" s="12" t="inlineStr">
        <is>
          <t>Not Executed</t>
        </is>
      </c>
      <c r="M45" s="12" t="inlineStr"/>
      <c r="N45" s="12" t="inlineStr"/>
      <c r="O45" s="12" t="inlineStr"/>
      <c r="P45" s="11" t="inlineStr"/>
    </row>
    <row r="46" ht="60" customHeight="1">
      <c r="A46" s="8" t="inlineStr">
        <is>
          <t>SCH-045</t>
        </is>
      </c>
      <c r="B46" s="9" t="inlineStr">
        <is>
          <t>Lifecycle: Submit</t>
        </is>
      </c>
      <c r="C46" s="9" t="inlineStr">
        <is>
          <t>Submit validation warnings render with severity styling</t>
        </is>
      </c>
      <c r="D46" s="13" t="inlineStr">
        <is>
          <t>Medium</t>
        </is>
      </c>
      <c r="E46" s="9" t="inlineStr">
        <is>
          <t>Functional</t>
        </is>
      </c>
      <c r="F46" s="9" t="inlineStr">
        <is>
          <t>Draft with conditions that trigger warnings (e.g. low BSC coverage, empty days).</t>
        </is>
      </c>
      <c r="G46" s="9" t="inlineStr">
        <is>
          <t>1. Click Submit for Approval and read the dialog</t>
        </is>
      </c>
      <c r="H46" s="9" t="inlineStr">
        <is>
          <t>N/A</t>
        </is>
      </c>
      <c r="I46" s="9" t="inlineStr">
        <is>
          <t>Each warning/message shows with critical/warning/info icon and colour from the validate response; empty validation shows a green success Alert.</t>
        </is>
      </c>
      <c r="J46" s="9" t="inlineStr">
        <is>
          <t>GET /schedules/{id}/validate</t>
        </is>
      </c>
      <c r="K46" s="11" t="inlineStr"/>
      <c r="L46" s="12" t="inlineStr">
        <is>
          <t>Not Executed</t>
        </is>
      </c>
      <c r="M46" s="12" t="inlineStr"/>
      <c r="N46" s="12" t="inlineStr"/>
      <c r="O46" s="12" t="inlineStr"/>
      <c r="P46" s="11" t="inlineStr"/>
    </row>
    <row r="47" ht="60" customHeight="1">
      <c r="A47" s="8" t="inlineStr">
        <is>
          <t>SCH-046</t>
        </is>
      </c>
      <c r="B47" s="9" t="inlineStr">
        <is>
          <t>Lifecycle: Submit</t>
        </is>
      </c>
      <c r="C47" s="9" t="inlineStr">
        <is>
          <t>Submit failure surfaces backend error</t>
        </is>
      </c>
      <c r="D47" s="13" t="inlineStr">
        <is>
          <t>Medium</t>
        </is>
      </c>
      <c r="E47" s="9" t="inlineStr">
        <is>
          <t>Negative</t>
        </is>
      </c>
      <c r="F47" s="9" t="inlineStr">
        <is>
          <t>A schedule not in a submittable state (e.g. already submitted) or backend rejects.</t>
        </is>
      </c>
      <c r="G47" s="9" t="inlineStr">
        <is>
          <t>1. Trigger submit when backend returns 400</t>
        </is>
      </c>
      <c r="H47" s="9" t="inlineStr">
        <is>
          <t>N/A</t>
        </is>
      </c>
      <c r="I47" s="9" t="inlineStr">
        <is>
          <t>Error banner shows the backend error message (e.g. invalid transition); status unchanged.</t>
        </is>
      </c>
      <c r="J47" s="9" t="inlineStr">
        <is>
          <t>POST /schedules/{id}/submit -&gt; 400</t>
        </is>
      </c>
      <c r="K47" s="11" t="inlineStr"/>
      <c r="L47" s="12" t="inlineStr">
        <is>
          <t>Not Executed</t>
        </is>
      </c>
      <c r="M47" s="12" t="inlineStr"/>
      <c r="N47" s="12" t="inlineStr"/>
      <c r="O47" s="12" t="inlineStr"/>
      <c r="P47" s="11" t="inlineStr"/>
    </row>
    <row r="48" ht="75" customHeight="1">
      <c r="A48" s="15" t="inlineStr">
        <is>
          <t>SCH-047</t>
        </is>
      </c>
      <c r="B48" s="16" t="inlineStr">
        <is>
          <t>Lifecycle: Approve</t>
        </is>
      </c>
      <c r="C48" s="16" t="inlineStr">
        <is>
          <t>Approve a submitted schedule (submitted -&gt; approved/communicated) and notify</t>
        </is>
      </c>
      <c r="D48" s="17" t="inlineStr">
        <is>
          <t>High</t>
        </is>
      </c>
      <c r="E48" s="16" t="inlineStr">
        <is>
          <t>Functional</t>
        </is>
      </c>
      <c r="F48" s="16" t="inlineStr">
        <is>
          <t>Open a submitted schedule on the board.</t>
        </is>
      </c>
      <c r="G48" s="16" t="inlineStr">
        <is>
          <t>1. Click Approve
2. Add optional approval note
3. Confirm Approve</t>
        </is>
      </c>
      <c r="H48" s="16" t="inlineStr">
        <is>
          <t>Approval note 'Approved by lead'</t>
        </is>
      </c>
      <c r="I48" s="16" t="inlineStr">
        <is>
          <t>Status advances (approved/communicated); team and patient notifications are triggered server-side; board reloads showing the new status and acknowledgments become available.</t>
        </is>
      </c>
      <c r="J48" s="16" t="inlineStr">
        <is>
          <t>POST /schedules/{id}/approve {note} (triggers notify_team_on_approval + notify_patients_on_communication)</t>
        </is>
      </c>
      <c r="K48" s="11" t="inlineStr"/>
      <c r="L48" s="12" t="inlineStr">
        <is>
          <t>Not Executed</t>
        </is>
      </c>
      <c r="M48" s="12" t="inlineStr"/>
      <c r="N48" s="12" t="inlineStr"/>
      <c r="O48" s="12" t="inlineStr"/>
      <c r="P48" s="11" t="inlineStr"/>
    </row>
    <row r="49" ht="75" customHeight="1">
      <c r="A49" s="8" t="inlineStr">
        <is>
          <t>SCH-048</t>
        </is>
      </c>
      <c r="B49" s="9" t="inlineStr">
        <is>
          <t>Lifecycle: Send Back</t>
        </is>
      </c>
      <c r="C49" s="9" t="inlineStr">
        <is>
          <t>Send Back requires a reason and returns to draft</t>
        </is>
      </c>
      <c r="D49" s="10" t="inlineStr">
        <is>
          <t>High</t>
        </is>
      </c>
      <c r="E49" s="9" t="inlineStr">
        <is>
          <t>Validation</t>
        </is>
      </c>
      <c r="F49" s="9" t="inlineStr">
        <is>
          <t>Open a submitted schedule.</t>
        </is>
      </c>
      <c r="G49" s="9" t="inlineStr">
        <is>
          <t>1. Click Send Back
2. Leave reason empty and observe button
3. Enter a reason and confirm</t>
        </is>
      </c>
      <c r="H49" s="9" t="inlineStr">
        <is>
          <t>Reason 'Tuesday over capacity, rebalance'</t>
        </is>
      </c>
      <c r="I49" s="9" t="inlineStr">
        <is>
          <t>Send Back button is disabled while the reason is empty; with a reason the schedule returns to draft/sent_back and the board reloads. Backend returns 400 'Reason is required' if forced without reason.</t>
        </is>
      </c>
      <c r="J49" s="9" t="inlineStr">
        <is>
          <t>POST /schedules/{id}/send-back {reason}</t>
        </is>
      </c>
      <c r="K49" s="11" t="inlineStr"/>
      <c r="L49" s="12" t="inlineStr">
        <is>
          <t>Not Executed</t>
        </is>
      </c>
      <c r="M49" s="12" t="inlineStr"/>
      <c r="N49" s="12" t="inlineStr"/>
      <c r="O49" s="12" t="inlineStr"/>
      <c r="P49" s="11" t="inlineStr"/>
    </row>
    <row r="50" ht="45" customHeight="1">
      <c r="A50" s="15" t="inlineStr">
        <is>
          <t>SCH-049</t>
        </is>
      </c>
      <c r="B50" s="16" t="inlineStr">
        <is>
          <t>Lifecycle: Activate</t>
        </is>
      </c>
      <c r="C50" s="16" t="inlineStr">
        <is>
          <t>Activate a communicated schedule (communicated -&gt; in_progress)</t>
        </is>
      </c>
      <c r="D50" s="17" t="inlineStr">
        <is>
          <t>High</t>
        </is>
      </c>
      <c r="E50" s="16" t="inlineStr">
        <is>
          <t>Functional</t>
        </is>
      </c>
      <c r="F50" s="16" t="inlineStr">
        <is>
          <t>Open a communicated schedule.</t>
        </is>
      </c>
      <c r="G50" s="16" t="inlineStr">
        <is>
          <t>1. Click 'Activate Schedule'</t>
        </is>
      </c>
      <c r="H50" s="16" t="inlineStr">
        <is>
          <t>N/A</t>
        </is>
      </c>
      <c r="I50" s="16" t="inlineStr">
        <is>
          <t>Schedule becomes active/in_progress; the board reloads; an 'End Week &amp; Review' button now appears for in_progress.</t>
        </is>
      </c>
      <c r="J50" s="16" t="inlineStr">
        <is>
          <t>POST /schedules/{id}/activate</t>
        </is>
      </c>
      <c r="K50" s="11" t="inlineStr"/>
      <c r="L50" s="12" t="inlineStr">
        <is>
          <t>Not Executed</t>
        </is>
      </c>
      <c r="M50" s="12" t="inlineStr"/>
      <c r="N50" s="12" t="inlineStr"/>
      <c r="O50" s="12" t="inlineStr"/>
      <c r="P50" s="11" t="inlineStr"/>
    </row>
    <row r="51" ht="45" customHeight="1">
      <c r="A51" s="8" t="inlineStr">
        <is>
          <t>SCH-050</t>
        </is>
      </c>
      <c r="B51" s="9" t="inlineStr">
        <is>
          <t>Lifecycle: Review</t>
        </is>
      </c>
      <c r="C51" s="9" t="inlineStr">
        <is>
          <t>End Week &amp; Review transitions in_progress -&gt; review_ready and navigates</t>
        </is>
      </c>
      <c r="D51" s="10" t="inlineStr">
        <is>
          <t>High</t>
        </is>
      </c>
      <c r="E51" s="9" t="inlineStr">
        <is>
          <t>Functional</t>
        </is>
      </c>
      <c r="F51" s="9" t="inlineStr">
        <is>
          <t>Open an in_progress schedule.</t>
        </is>
      </c>
      <c r="G51" s="9" t="inlineStr">
        <is>
          <t>1. Click 'End Week &amp; Review'</t>
        </is>
      </c>
      <c r="H51" s="9" t="inlineStr">
        <is>
          <t>N/A</t>
        </is>
      </c>
      <c r="I51" s="9" t="inlineStr">
        <is>
          <t>Status transitions to review_ready and the app navigates to /saranam/scheduling/review-dashboard/:scheduleId.</t>
        </is>
      </c>
      <c r="J51" s="9" t="inlineStr">
        <is>
          <t>POST /schedules/{id}/review-ready</t>
        </is>
      </c>
      <c r="K51" s="11" t="inlineStr"/>
      <c r="L51" s="12" t="inlineStr">
        <is>
          <t>Not Executed</t>
        </is>
      </c>
      <c r="M51" s="12" t="inlineStr"/>
      <c r="N51" s="12" t="inlineStr"/>
      <c r="O51" s="12" t="inlineStr"/>
      <c r="P51" s="11" t="inlineStr"/>
    </row>
    <row r="52" ht="90" customHeight="1">
      <c r="A52" s="15" t="inlineStr">
        <is>
          <t>SCH-051</t>
        </is>
      </c>
      <c r="B52" s="16" t="inlineStr">
        <is>
          <t>Lifecycle: Disallowed transitions</t>
        </is>
      </c>
      <c r="C52" s="16" t="inlineStr">
        <is>
          <t>Disallowed lifecycle transitions are blocked</t>
        </is>
      </c>
      <c r="D52" s="17" t="inlineStr">
        <is>
          <t>High</t>
        </is>
      </c>
      <c r="E52" s="16" t="inlineStr">
        <is>
          <t>Negative</t>
        </is>
      </c>
      <c r="F52" s="16" t="inlineStr">
        <is>
          <t>Schedules in various statuses.</t>
        </is>
      </c>
      <c r="G52" s="16" t="inlineStr">
        <is>
          <t>1. Attempt to approve a draft (force POST /approve)
2. Attempt to activate a draft
3. Attempt to submit an already-submitted schedule</t>
        </is>
      </c>
      <c r="H52" s="16" t="inlineStr">
        <is>
          <t>N/A</t>
        </is>
      </c>
      <c r="I52" s="16" t="inlineStr">
        <is>
          <t>Each invalid transition returns 400 with an error message; status is unchanged. In the UI the corresponding buttons are not even shown for the wrong status (e.g. Approve only for submitted, Activate only for communicated).</t>
        </is>
      </c>
      <c r="J52" s="16" t="inlineStr">
        <is>
          <t>POST /schedules/{id}/approve|activate|submit -&gt; 400</t>
        </is>
      </c>
      <c r="K52" s="11" t="inlineStr"/>
      <c r="L52" s="12" t="inlineStr">
        <is>
          <t>Not Executed</t>
        </is>
      </c>
      <c r="M52" s="12" t="inlineStr"/>
      <c r="N52" s="12" t="inlineStr"/>
      <c r="O52" s="12" t="inlineStr"/>
      <c r="P52" s="11" t="inlineStr"/>
    </row>
    <row r="53" ht="75" customHeight="1">
      <c r="A53" s="8" t="inlineStr">
        <is>
          <t>SCH-052</t>
        </is>
      </c>
      <c r="B53" s="9" t="inlineStr">
        <is>
          <t>Lifecycle: Status-gated controls</t>
        </is>
      </c>
      <c r="C53" s="9" t="inlineStr">
        <is>
          <t>Header controls match schedule status</t>
        </is>
      </c>
      <c r="D53" s="13" t="inlineStr">
        <is>
          <t>Medium</t>
        </is>
      </c>
      <c r="E53" s="9" t="inlineStr">
        <is>
          <t>UI/UX</t>
        </is>
      </c>
      <c r="F53" s="9" t="inlineStr">
        <is>
          <t>Schedules in draft, submitted, communicated, in_progress.</t>
        </is>
      </c>
      <c r="G53" s="9" t="inlineStr">
        <is>
          <t>1. Open each status on the board and note the action buttons</t>
        </is>
      </c>
      <c r="H53" s="9" t="inlineStr">
        <is>
          <t>N/A</t>
        </is>
      </c>
      <c r="I53" s="9" t="inlineStr">
        <is>
          <t>Draft: Add Patient + Submit for Approval. Submitted: Approve + Send Back. Communicated: Activate Schedule. In_progress: End Week &amp; Review. Sidebar pool/DND only for draft &amp; sent_back.</t>
        </is>
      </c>
      <c r="J53" s="9" t="inlineStr">
        <is>
          <t>N/A</t>
        </is>
      </c>
      <c r="K53" s="11" t="inlineStr"/>
      <c r="L53" s="12" t="inlineStr">
        <is>
          <t>Not Executed</t>
        </is>
      </c>
      <c r="M53" s="12" t="inlineStr"/>
      <c r="N53" s="12" t="inlineStr"/>
      <c r="O53" s="12" t="inlineStr"/>
      <c r="P53" s="11" t="inlineStr"/>
    </row>
    <row r="54" ht="90" customHeight="1">
      <c r="A54" s="15" t="inlineStr">
        <is>
          <t>SCH-053</t>
        </is>
      </c>
      <c r="B54" s="16" t="inlineStr">
        <is>
          <t>Schedule Settings</t>
        </is>
      </c>
      <c r="C54" s="16" t="inlineStr">
        <is>
          <t>Settings page loads config, vehicles (and cluster section)</t>
        </is>
      </c>
      <c r="D54" s="17" t="inlineStr">
        <is>
          <t>High</t>
        </is>
      </c>
      <c r="E54" s="16" t="inlineStr">
        <is>
          <t>Functional</t>
        </is>
      </c>
      <c r="F54" s="16" t="inlineStr">
        <is>
          <t>Logged in.</t>
        </is>
      </c>
      <c r="G54" s="16" t="inlineStr">
        <is>
          <t>1. Navigate to /saranam/scheduling/settings</t>
        </is>
      </c>
      <c r="H54" s="16" t="inlineStr">
        <is>
          <t>N/A</t>
        </is>
      </c>
      <c r="I54" s="16" t="inlineStr">
        <is>
          <t>Config loads into Visit Days checkboxes and Planning &amp; Approval fields; Vehicles list renders with base hospital chips. Save Settings button present. (Capacity/Threshold/Cluster panels are commented out in current build - confirm not visible.)</t>
        </is>
      </c>
      <c r="J54" s="16" t="inlineStr">
        <is>
          <t>GET /config; GET /clusters; GET /vehicles</t>
        </is>
      </c>
      <c r="K54" s="11" t="inlineStr"/>
      <c r="L54" s="12" t="inlineStr">
        <is>
          <t>Not Executed</t>
        </is>
      </c>
      <c r="M54" s="12" t="inlineStr"/>
      <c r="N54" s="12" t="inlineStr"/>
      <c r="O54" s="12" t="inlineStr"/>
      <c r="P54" s="11" t="inlineStr"/>
    </row>
    <row r="55" ht="60" customHeight="1">
      <c r="A55" s="15" t="inlineStr">
        <is>
          <t>SCH-054</t>
        </is>
      </c>
      <c r="B55" s="16" t="inlineStr">
        <is>
          <t>Schedule Settings</t>
        </is>
      </c>
      <c r="C55" s="16" t="inlineStr">
        <is>
          <t>Save scheduling config (visit days + deadlines)</t>
        </is>
      </c>
      <c r="D55" s="17" t="inlineStr">
        <is>
          <t>High</t>
        </is>
      </c>
      <c r="E55" s="16" t="inlineStr">
        <is>
          <t>Functional</t>
        </is>
      </c>
      <c r="F55" s="16" t="inlineStr">
        <is>
          <t>Settings loaded.</t>
        </is>
      </c>
      <c r="G55" s="16" t="inlineStr">
        <is>
          <t>1. Toggle visit-day checkboxes
2. Set Planning Day, Planning Deadline Time, Approval Deadline Day &amp; Time
3. Click Save Settings</t>
        </is>
      </c>
      <c r="H55" s="16" t="inlineStr">
        <is>
          <t>Visit days Mon-Fri; Planning Day Thursday 17:00; Approval Sunday 12:00</t>
        </is>
      </c>
      <c r="I55" s="16" t="inlineStr">
        <is>
          <t>A green 'Settings saved successfully.' Alert shows (auto-dismiss ~3s); reloading the page retains the saved values.</t>
        </is>
      </c>
      <c r="J55" s="16" t="inlineStr">
        <is>
          <t>PUT /api/saranam/scheduling/config</t>
        </is>
      </c>
      <c r="K55" s="11" t="inlineStr"/>
      <c r="L55" s="12" t="inlineStr">
        <is>
          <t>Not Executed</t>
        </is>
      </c>
      <c r="M55" s="12" t="inlineStr"/>
      <c r="N55" s="12" t="inlineStr"/>
      <c r="O55" s="12" t="inlineStr"/>
      <c r="P55" s="11" t="inlineStr"/>
    </row>
    <row r="56" ht="60" customHeight="1">
      <c r="A56" s="15" t="inlineStr">
        <is>
          <t>SCH-055</t>
        </is>
      </c>
      <c r="B56" s="16" t="inlineStr">
        <is>
          <t>Schedule Settings</t>
        </is>
      </c>
      <c r="C56" s="16" t="inlineStr">
        <is>
          <t>Add a vehicle (name required) with base hospital</t>
        </is>
      </c>
      <c r="D56" s="17" t="inlineStr">
        <is>
          <t>High</t>
        </is>
      </c>
      <c r="E56" s="16" t="inlineStr">
        <is>
          <t>Functional</t>
        </is>
      </c>
      <c r="F56" s="16" t="inlineStr">
        <is>
          <t>Settings loaded.</t>
        </is>
      </c>
      <c r="G56" s="16" t="inlineStr">
        <is>
          <t>1. Click Add Vehicle
2. Enter name + registration, choose Base Hospital
3. Click Create</t>
        </is>
      </c>
      <c r="H56" s="16" t="inlineStr">
        <is>
          <t>Name 'Saranam Van 2', reg KA-05-CD-6789, base KCGH</t>
        </is>
      </c>
      <c r="I56" s="16" t="inlineStr">
        <is>
          <t>Vehicle is created and appears in the list with a 'Base: KCGH' chip. Create button is disabled when name is empty; backend returns 400 if name missing.</t>
        </is>
      </c>
      <c r="J56" s="16" t="inlineStr">
        <is>
          <t>POST /api/saranam/scheduling/vehicles</t>
        </is>
      </c>
      <c r="K56" s="11" t="inlineStr"/>
      <c r="L56" s="12" t="inlineStr">
        <is>
          <t>Not Executed</t>
        </is>
      </c>
      <c r="M56" s="12" t="inlineStr"/>
      <c r="N56" s="12" t="inlineStr"/>
      <c r="O56" s="12" t="inlineStr"/>
      <c r="P56" s="11" t="inlineStr"/>
    </row>
    <row r="57" ht="45" customHeight="1">
      <c r="A57" s="15" t="inlineStr">
        <is>
          <t>SCH-056</t>
        </is>
      </c>
      <c r="B57" s="16" t="inlineStr">
        <is>
          <t>Schedule Settings</t>
        </is>
      </c>
      <c r="C57" s="16" t="inlineStr">
        <is>
          <t>Edit an existing vehicle</t>
        </is>
      </c>
      <c r="D57" s="18" t="inlineStr">
        <is>
          <t>Medium</t>
        </is>
      </c>
      <c r="E57" s="16" t="inlineStr">
        <is>
          <t>Functional</t>
        </is>
      </c>
      <c r="F57" s="16" t="inlineStr">
        <is>
          <t>At least one vehicle exists.</t>
        </is>
      </c>
      <c r="G57" s="16" t="inlineStr">
        <is>
          <t>1. Click the pencil on a vehicle row
2. Change name/reg/base hospital
3. Click Update</t>
        </is>
      </c>
      <c r="H57" s="16" t="inlineStr">
        <is>
          <t>Change base to KMIO</t>
        </is>
      </c>
      <c r="I57" s="16" t="inlineStr">
        <is>
          <t>Vehicle updates and the row reflects the new values. 404 returned if the id no longer exists.</t>
        </is>
      </c>
      <c r="J57" s="16" t="inlineStr">
        <is>
          <t>PUT /api/saranam/scheduling/vehicles/{id}</t>
        </is>
      </c>
      <c r="K57" s="11" t="inlineStr"/>
      <c r="L57" s="12" t="inlineStr">
        <is>
          <t>Not Executed</t>
        </is>
      </c>
      <c r="M57" s="12" t="inlineStr"/>
      <c r="N57" s="12" t="inlineStr"/>
      <c r="O57" s="12" t="inlineStr"/>
      <c r="P57" s="11" t="inlineStr"/>
    </row>
    <row r="58" ht="75" customHeight="1">
      <c r="A58" s="15" t="inlineStr">
        <is>
          <t>SCH-057</t>
        </is>
      </c>
      <c r="B58" s="16" t="inlineStr">
        <is>
          <t>Schedule Settings</t>
        </is>
      </c>
      <c r="C58" s="16" t="inlineStr">
        <is>
          <t>Inline Add Hospital from vehicle dialog</t>
        </is>
      </c>
      <c r="D58" s="18" t="inlineStr">
        <is>
          <t>Medium</t>
        </is>
      </c>
      <c r="E58" s="16" t="inlineStr">
        <is>
          <t>Functional</t>
        </is>
      </c>
      <c r="F58" s="16" t="inlineStr">
        <is>
          <t>Vehicle dialog open.</t>
        </is>
      </c>
      <c r="G58" s="16" t="inlineStr">
        <is>
          <t>1. Click the + next to Base Hospital
2. Enter Code 'MSR' (homecare prefix auto KAGBAMSR) and Name
3. Click Add</t>
        </is>
      </c>
      <c r="H58" s="16" t="inlineStr">
        <is>
          <t>Code MSR, Name 'M.S. Ramaiah Memorial'</t>
        </is>
      </c>
      <c r="I58" s="16" t="inlineStr">
        <is>
          <t>New hospital is added to the master list and selected as the vehicle's base; homecare prefix auto-derives as KAGBA+code unless edited. Add disabled until code+name present.</t>
        </is>
      </c>
      <c r="J58" s="16" t="inlineStr">
        <is>
          <t>useHospitalOptions add (hospital master API)</t>
        </is>
      </c>
      <c r="K58" s="11" t="inlineStr"/>
      <c r="L58" s="12" t="inlineStr">
        <is>
          <t>Not Executed</t>
        </is>
      </c>
      <c r="M58" s="12" t="inlineStr"/>
      <c r="N58" s="12" t="inlineStr"/>
      <c r="O58" s="12" t="inlineStr"/>
      <c r="P58" s="11" t="inlineStr"/>
    </row>
    <row r="59" ht="60" customHeight="1">
      <c r="A59" s="15" t="inlineStr">
        <is>
          <t>SCH-058</t>
        </is>
      </c>
      <c r="B59" s="16" t="inlineStr">
        <is>
          <t>Schedule Settings</t>
        </is>
      </c>
      <c r="C59" s="16" t="inlineStr">
        <is>
          <t>Cluster create/edit/delete (if cluster panel enabled)</t>
        </is>
      </c>
      <c r="D59" s="19" t="inlineStr">
        <is>
          <t>Low</t>
        </is>
      </c>
      <c r="E59" s="16" t="inlineStr">
        <is>
          <t>Functional</t>
        </is>
      </c>
      <c r="F59" s="16" t="inlineStr">
        <is>
          <t>Cluster panel visible (currently commented out - verify build).</t>
        </is>
      </c>
      <c r="G59" s="16" t="inlineStr">
        <is>
          <t>1. If visible: Add Cluster with name/color/pin codes, then edit, then delete (confirm dialog)</t>
        </is>
      </c>
      <c r="H59" s="16" t="inlineStr">
        <is>
          <t>Name 'North', color #3b82f6, pins 560001,560002</t>
        </is>
      </c>
      <c r="I59" s="16" t="inlineStr">
        <is>
          <t>Cluster CRUD works: create -&gt; list; edit -&gt; updated; delete (confirm) -&gt; removed. Create disabled when name empty. If the panel is not rendered in this build, mark N/A.</t>
        </is>
      </c>
      <c r="J59" s="16" t="inlineStr">
        <is>
          <t>POST/PUT/DELETE /api/saranam/scheduling/clusters</t>
        </is>
      </c>
      <c r="K59" s="11" t="inlineStr"/>
      <c r="L59" s="12" t="inlineStr">
        <is>
          <t>Not Executed</t>
        </is>
      </c>
      <c r="M59" s="12" t="inlineStr"/>
      <c r="N59" s="12" t="inlineStr"/>
      <c r="O59" s="12" t="inlineStr"/>
      <c r="P59" s="11" t="inlineStr"/>
    </row>
    <row r="60" ht="30" customHeight="1">
      <c r="A60" s="15" t="inlineStr">
        <is>
          <t>SCH-059</t>
        </is>
      </c>
      <c r="B60" s="16" t="inlineStr">
        <is>
          <t>Schedule Settings</t>
        </is>
      </c>
      <c r="C60" s="16" t="inlineStr">
        <is>
          <t>Settings load failure shows error</t>
        </is>
      </c>
      <c r="D60" s="19" t="inlineStr">
        <is>
          <t>Low</t>
        </is>
      </c>
      <c r="E60" s="16" t="inlineStr">
        <is>
          <t>Negative</t>
        </is>
      </c>
      <c r="F60" s="16" t="inlineStr">
        <is>
          <t>Simulate config/vehicles API failure.</t>
        </is>
      </c>
      <c r="G60" s="16" t="inlineStr">
        <is>
          <t>1. Open settings with the API failing</t>
        </is>
      </c>
      <c r="H60" s="16" t="inlineStr">
        <is>
          <t>N/A</t>
        </is>
      </c>
      <c r="I60" s="16" t="inlineStr">
        <is>
          <t>A red Alert 'Failed to load settings. &lt;reason&gt;' is shown; the page does not crash.</t>
        </is>
      </c>
      <c r="J60" s="16" t="inlineStr">
        <is>
          <t>GET /config|/clusters|/vehicles</t>
        </is>
      </c>
      <c r="K60" s="11" t="inlineStr"/>
      <c r="L60" s="12" t="inlineStr">
        <is>
          <t>Not Executed</t>
        </is>
      </c>
      <c r="M60" s="12" t="inlineStr"/>
      <c r="N60" s="12" t="inlineStr"/>
      <c r="O60" s="12" t="inlineStr"/>
      <c r="P60" s="11" t="inlineStr"/>
    </row>
    <row r="61" ht="75" customHeight="1">
      <c r="A61" s="8" t="inlineStr">
        <is>
          <t>SCH-060</t>
        </is>
      </c>
      <c r="B61" s="9" t="inlineStr">
        <is>
          <t>Active Schedule Visits</t>
        </is>
      </c>
      <c r="C61" s="9" t="inlineStr">
        <is>
          <t>Active Visits auto-selects the active/in_progress schedule</t>
        </is>
      </c>
      <c r="D61" s="10" t="inlineStr">
        <is>
          <t>High</t>
        </is>
      </c>
      <c r="E61" s="9" t="inlineStr">
        <is>
          <t>Functional</t>
        </is>
      </c>
      <c r="F61" s="9" t="inlineStr">
        <is>
          <t>An active/in_progress schedule exists (else approved).</t>
        </is>
      </c>
      <c r="G61" s="9" t="inlineStr">
        <is>
          <t>1. Navigate to /saranam/scheduling/active-visits</t>
        </is>
      </c>
      <c r="H61" s="9" t="inlineStr">
        <is>
          <t>N/A</t>
        </is>
      </c>
      <c r="I61" s="9" t="inlineStr">
        <is>
          <t>The first active/in_progress schedule (or approved fallback) loads, showing header with week/vehicle/status, total patients and visit days, day tabs, the day's patient list and a route map.</t>
        </is>
      </c>
      <c r="J61" s="9" t="inlineStr">
        <is>
          <t>GET /schedules?per_page=100 then GET /schedules/{id} + GET /schedules/{id}/deviations</t>
        </is>
      </c>
      <c r="K61" s="11" t="inlineStr"/>
      <c r="L61" s="12" t="inlineStr">
        <is>
          <t>Not Executed</t>
        </is>
      </c>
      <c r="M61" s="12" t="inlineStr"/>
      <c r="N61" s="12" t="inlineStr"/>
      <c r="O61" s="12" t="inlineStr"/>
      <c r="P61" s="11" t="inlineStr"/>
    </row>
    <row r="62" ht="45" customHeight="1">
      <c r="A62" s="8" t="inlineStr">
        <is>
          <t>SCH-061</t>
        </is>
      </c>
      <c r="B62" s="9" t="inlineStr">
        <is>
          <t>Active Schedule Visits</t>
        </is>
      </c>
      <c r="C62" s="9" t="inlineStr">
        <is>
          <t>No active schedule empty state</t>
        </is>
      </c>
      <c r="D62" s="13" t="inlineStr">
        <is>
          <t>Medium</t>
        </is>
      </c>
      <c r="E62" s="9" t="inlineStr">
        <is>
          <t>UI/UX</t>
        </is>
      </c>
      <c r="F62" s="9" t="inlineStr">
        <is>
          <t>No active/in_progress/approved schedules.</t>
        </is>
      </c>
      <c r="G62" s="9" t="inlineStr">
        <is>
          <t>1. Open /saranam/scheduling/active-visits</t>
        </is>
      </c>
      <c r="H62" s="9" t="inlineStr">
        <is>
          <t>N/A</t>
        </is>
      </c>
      <c r="I62" s="9" t="inlineStr">
        <is>
          <t>Empty state 'No Active Schedule' with explanation and a 'Go to Calendar' button is shown.</t>
        </is>
      </c>
      <c r="J62" s="9" t="inlineStr">
        <is>
          <t>GET /schedules</t>
        </is>
      </c>
      <c r="K62" s="11" t="inlineStr"/>
      <c r="L62" s="12" t="inlineStr">
        <is>
          <t>Not Executed</t>
        </is>
      </c>
      <c r="M62" s="12" t="inlineStr"/>
      <c r="N62" s="12" t="inlineStr"/>
      <c r="O62" s="12" t="inlineStr"/>
      <c r="P62" s="11" t="inlineStr"/>
    </row>
    <row r="63" ht="45" customHeight="1">
      <c r="A63" s="8" t="inlineStr">
        <is>
          <t>SCH-062</t>
        </is>
      </c>
      <c r="B63" s="9" t="inlineStr">
        <is>
          <t>Active Schedule Visits</t>
        </is>
      </c>
      <c r="C63" s="9" t="inlineStr">
        <is>
          <t>Day tabs switch the listed patients and route</t>
        </is>
      </c>
      <c r="D63" s="13" t="inlineStr">
        <is>
          <t>Medium</t>
        </is>
      </c>
      <c r="E63" s="9" t="inlineStr">
        <is>
          <t>Functional</t>
        </is>
      </c>
      <c r="F63" s="9" t="inlineStr">
        <is>
          <t>Active schedule with multiple days having patients.</t>
        </is>
      </c>
      <c r="G63" s="9" t="inlineStr">
        <is>
          <t>1. Click different day tabs; use the map prev/next arrows</t>
        </is>
      </c>
      <c r="H63" s="9" t="inlineStr">
        <is>
          <t>N/A</t>
        </is>
      </c>
      <c r="I63" s="9" t="inlineStr">
        <is>
          <t>Patient list and route map update to the selected day; days with patients show a count; route total km and segments recompute.</t>
        </is>
      </c>
      <c r="J63" s="9" t="inlineStr">
        <is>
          <t>N/A</t>
        </is>
      </c>
      <c r="K63" s="11" t="inlineStr"/>
      <c r="L63" s="12" t="inlineStr">
        <is>
          <t>Not Executed</t>
        </is>
      </c>
      <c r="M63" s="12" t="inlineStr"/>
      <c r="N63" s="12" t="inlineStr"/>
      <c r="O63" s="12" t="inlineStr"/>
      <c r="P63" s="11" t="inlineStr"/>
    </row>
    <row r="64" ht="45" customHeight="1">
      <c r="A64" s="8" t="inlineStr">
        <is>
          <t>SCH-063</t>
        </is>
      </c>
      <c r="B64" s="9" t="inlineStr">
        <is>
          <t>Active Schedule Visits</t>
        </is>
      </c>
      <c r="C64" s="9" t="inlineStr">
        <is>
          <t>Complete a visit updates slot status</t>
        </is>
      </c>
      <c r="D64" s="10" t="inlineStr">
        <is>
          <t>High</t>
        </is>
      </c>
      <c r="E64" s="9" t="inlineStr">
        <is>
          <t>Functional</t>
        </is>
      </c>
      <c r="F64" s="9" t="inlineStr">
        <is>
          <t>Active schedule with a scheduled/in_progress slot.</t>
        </is>
      </c>
      <c r="G64" s="9" t="inlineStr">
        <is>
          <t>1. On a slot click 'Complete'</t>
        </is>
      </c>
      <c r="H64" s="9" t="inlineStr">
        <is>
          <t>N/A</t>
        </is>
      </c>
      <c r="I64" s="9" t="inlineStr">
        <is>
          <t>Slot status becomes completed (green 'Visit completed' line with time if available); schedule reloads.</t>
        </is>
      </c>
      <c r="J64" s="9" t="inlineStr">
        <is>
          <t>PUT /api/saranam/scheduling/slots/{slotId} {status:'completed'}</t>
        </is>
      </c>
      <c r="K64" s="11" t="inlineStr"/>
      <c r="L64" s="12" t="inlineStr">
        <is>
          <t>Not Executed</t>
        </is>
      </c>
      <c r="M64" s="12" t="inlineStr"/>
      <c r="N64" s="12" t="inlineStr"/>
      <c r="O64" s="12" t="inlineStr"/>
      <c r="P64" s="11" t="inlineStr"/>
    </row>
    <row r="65" ht="60" customHeight="1">
      <c r="A65" s="8" t="inlineStr">
        <is>
          <t>SCH-064</t>
        </is>
      </c>
      <c r="B65" s="9" t="inlineStr">
        <is>
          <t>Active Schedule Visits</t>
        </is>
      </c>
      <c r="C65" s="9" t="inlineStr">
        <is>
          <t>Mark a visit missed with reason + notes</t>
        </is>
      </c>
      <c r="D65" s="10" t="inlineStr">
        <is>
          <t>High</t>
        </is>
      </c>
      <c r="E65" s="9" t="inlineStr">
        <is>
          <t>Functional</t>
        </is>
      </c>
      <c r="F65" s="9" t="inlineStr">
        <is>
          <t>Active schedule slot.</t>
        </is>
      </c>
      <c r="G65" s="9" t="inlineStr">
        <is>
          <t>1. Click 'Missed'
2. Pick a reason (e.g. 'Patient not home'), add notes
3. Confirm Missed</t>
        </is>
      </c>
      <c r="H65" s="9" t="inlineStr">
        <is>
          <t>Reason 'Patient not home', notes 'Door locked'</t>
        </is>
      </c>
      <c r="I65" s="9" t="inlineStr">
        <is>
          <t>Confirm disabled until a reason is chosen; slot becomes missed showing the combined reason; schedule reloads.</t>
        </is>
      </c>
      <c r="J65" s="9" t="inlineStr">
        <is>
          <t>PUT /slots/{slotId} {status:'missed', missed_reason}</t>
        </is>
      </c>
      <c r="K65" s="11" t="inlineStr"/>
      <c r="L65" s="12" t="inlineStr">
        <is>
          <t>Not Executed</t>
        </is>
      </c>
      <c r="M65" s="12" t="inlineStr"/>
      <c r="N65" s="12" t="inlineStr"/>
      <c r="O65" s="12" t="inlineStr"/>
      <c r="P65" s="11" t="inlineStr"/>
    </row>
    <row r="66" ht="45" customHeight="1">
      <c r="A66" s="8" t="inlineStr">
        <is>
          <t>SCH-065</t>
        </is>
      </c>
      <c r="B66" s="9" t="inlineStr">
        <is>
          <t>Active Schedule Visits</t>
        </is>
      </c>
      <c r="C66" s="9" t="inlineStr">
        <is>
          <t>Cancel a visit with reason</t>
        </is>
      </c>
      <c r="D66" s="13" t="inlineStr">
        <is>
          <t>Medium</t>
        </is>
      </c>
      <c r="E66" s="9" t="inlineStr">
        <is>
          <t>Functional</t>
        </is>
      </c>
      <c r="F66" s="9" t="inlineStr">
        <is>
          <t>Active schedule slot.</t>
        </is>
      </c>
      <c r="G66" s="9" t="inlineStr">
        <is>
          <t>1. Click 'Cancel', enter a cancellation reason, Confirm Cancel</t>
        </is>
      </c>
      <c r="H66" s="9" t="inlineStr">
        <is>
          <t>Reason 'Patient admitted to IPD'</t>
        </is>
      </c>
      <c r="I66" s="9" t="inlineStr">
        <is>
          <t>Confirm disabled until reason entered; slot becomes cancelled showing the reason; schedule reloads.</t>
        </is>
      </c>
      <c r="J66" s="9" t="inlineStr">
        <is>
          <t>PUT /slots/{slotId} {status:'cancelled', cancelled_reason}</t>
        </is>
      </c>
      <c r="K66" s="11" t="inlineStr"/>
      <c r="L66" s="12" t="inlineStr">
        <is>
          <t>Not Executed</t>
        </is>
      </c>
      <c r="M66" s="12" t="inlineStr"/>
      <c r="N66" s="12" t="inlineStr"/>
      <c r="O66" s="12" t="inlineStr"/>
      <c r="P66" s="11" t="inlineStr"/>
    </row>
    <row r="67" ht="60" customHeight="1">
      <c r="A67" s="8" t="inlineStr">
        <is>
          <t>SCH-066</t>
        </is>
      </c>
      <c r="B67" s="9" t="inlineStr">
        <is>
          <t>Active Schedule Visits</t>
        </is>
      </c>
      <c r="C67" s="9" t="inlineStr">
        <is>
          <t>Report Deviation (non-emergency) from a day</t>
        </is>
      </c>
      <c r="D67" s="10" t="inlineStr">
        <is>
          <t>High</t>
        </is>
      </c>
      <c r="E67" s="9" t="inlineStr">
        <is>
          <t>Functional</t>
        </is>
      </c>
      <c r="F67" s="9" t="inlineStr">
        <is>
          <t>Active schedule day selected.</t>
        </is>
      </c>
      <c r="G67" s="9" t="inlineStr">
        <is>
          <t>1. Click 'Report Deviation'
2. Select type 'Route Order Changed', describe it, add time impact
3. Submit Deviation</t>
        </is>
      </c>
      <c r="H67" s="9" t="inlineStr">
        <is>
          <t>Type route_change, desc 'Reversed afternoon route due to traffic'</t>
        </is>
      </c>
      <c r="I67" s="9" t="inlineStr">
        <is>
          <t>Submit disabled until type+description set; deviation is created and appears under 'Deviations Reported' for that day after reload.</t>
        </is>
      </c>
      <c r="J67" s="9" t="inlineStr">
        <is>
          <t>POST /api/saranam/scheduling/days/{dayId}/deviations {deviation_type, description, time_impact}</t>
        </is>
      </c>
      <c r="K67" s="11" t="inlineStr"/>
      <c r="L67" s="12" t="inlineStr">
        <is>
          <t>Not Executed</t>
        </is>
      </c>
      <c r="M67" s="12" t="inlineStr"/>
      <c r="N67" s="12" t="inlineStr"/>
      <c r="O67" s="12" t="inlineStr"/>
      <c r="P67" s="11" t="inlineStr"/>
    </row>
    <row r="68" ht="75" customHeight="1">
      <c r="A68" s="8" t="inlineStr">
        <is>
          <t>SCH-067</t>
        </is>
      </c>
      <c r="B68" s="9" t="inlineStr">
        <is>
          <t>Active Schedule Visits</t>
        </is>
      </c>
      <c r="C68" s="9" t="inlineStr">
        <is>
          <t>Report Deviation (emergency patient) captures emergency fields</t>
        </is>
      </c>
      <c r="D68" s="13" t="inlineStr">
        <is>
          <t>Medium</t>
        </is>
      </c>
      <c r="E68" s="9" t="inlineStr">
        <is>
          <t>Functional</t>
        </is>
      </c>
      <c r="F68" s="9" t="inlineStr">
        <is>
          <t>Active schedule day selected.</t>
        </is>
      </c>
      <c r="G68" s="9" t="inlineStr">
        <is>
          <t>1. Open Report Deviation, choose 'Emergency Patient Visited'
2. Fill emergency name/location/reason + description
3. Submit</t>
        </is>
      </c>
      <c r="H68" s="9" t="inlineStr">
        <is>
          <t>Emergency 'Ramesh K', location 'Indiranagar', reason 'Breathlessness'</t>
        </is>
      </c>
      <c r="I68" s="9" t="inlineStr">
        <is>
          <t>Emergency-specific fields appear when type=emergency_patient; deviation persists with emergency name/location and is displayed in the day's deviation list.</t>
        </is>
      </c>
      <c r="J68" s="9" t="inlineStr">
        <is>
          <t>POST /days/{dayId}/deviations {deviation_type:'emergency_patient', emergency_patient_name, emergency_patient_location, emergency_reason}</t>
        </is>
      </c>
      <c r="K68" s="11" t="inlineStr"/>
      <c r="L68" s="12" t="inlineStr">
        <is>
          <t>Not Executed</t>
        </is>
      </c>
      <c r="M68" s="12" t="inlineStr"/>
      <c r="N68" s="12" t="inlineStr"/>
      <c r="O68" s="12" t="inlineStr"/>
      <c r="P68" s="11" t="inlineStr"/>
    </row>
    <row r="69" ht="60" customHeight="1">
      <c r="A69" s="8" t="inlineStr">
        <is>
          <t>SCH-068</t>
        </is>
      </c>
      <c r="B69" s="9" t="inlineStr">
        <is>
          <t>Active Schedule Visits</t>
        </is>
      </c>
      <c r="C69" s="9" t="inlineStr">
        <is>
          <t>Team and route segments panels render</t>
        </is>
      </c>
      <c r="D69" s="14" t="inlineStr">
        <is>
          <t>Low</t>
        </is>
      </c>
      <c r="E69" s="9" t="inlineStr">
        <is>
          <t>Functional</t>
        </is>
      </c>
      <c r="F69" s="9" t="inlineStr">
        <is>
          <t>Active schedule day with team assignments and GPS patients.</t>
        </is>
      </c>
      <c r="G69" s="9" t="inlineStr">
        <is>
          <t>1. Select a day with a team and routed patients</t>
        </is>
      </c>
      <c r="H69" s="9" t="inlineStr">
        <is>
          <t>N/A</t>
        </is>
      </c>
      <c r="I69" s="9" t="inlineStr">
        <is>
          <t>A 'Team for &lt;day&gt;' panel lists roles + provider names; a 'Route Segments' panel lists from-&gt;to legs with km and a total; numbered markers/route render on the map.</t>
        </is>
      </c>
      <c r="J69" s="9" t="inlineStr">
        <is>
          <t>N/A (from /schedules/{id})</t>
        </is>
      </c>
      <c r="K69" s="11" t="inlineStr"/>
      <c r="L69" s="12" t="inlineStr">
        <is>
          <t>Not Executed</t>
        </is>
      </c>
      <c r="M69" s="12" t="inlineStr"/>
      <c r="N69" s="12" t="inlineStr"/>
      <c r="O69" s="12" t="inlineStr"/>
      <c r="P69" s="11" t="inlineStr"/>
    </row>
    <row r="70" ht="75" customHeight="1">
      <c r="A70" s="15" t="inlineStr">
        <is>
          <t>SCH-069</t>
        </is>
      </c>
      <c r="B70" s="16" t="inlineStr">
        <is>
          <t>My Visits (clinician)</t>
        </is>
      </c>
      <c r="C70" s="16" t="inlineStr">
        <is>
          <t>My Visits loads the logged-in clinician's week grouped by day</t>
        </is>
      </c>
      <c r="D70" s="17" t="inlineStr">
        <is>
          <t>High</t>
        </is>
      </c>
      <c r="E70" s="16" t="inlineStr">
        <is>
          <t>Functional</t>
        </is>
      </c>
      <c r="F70" s="16" t="inlineStr">
        <is>
          <t>Logged-in clinician is assigned to an approved/active schedule this week.</t>
        </is>
      </c>
      <c r="G70" s="16" t="inlineStr">
        <is>
          <t>1. Navigate to /saranam/scheduling/my-visits</t>
        </is>
      </c>
      <c r="H70" s="16" t="inlineStr">
        <is>
          <t>N/A</t>
        </is>
      </c>
      <c r="I70" s="16" t="inlineStr">
        <is>
          <t>Shows 'My Visits', week label, day accordions (expanded by default) each listing the clinician's patients with UHID, cluster, address, phone, Navigate and Start Visit actions.</t>
        </is>
      </c>
      <c r="J70" s="16" t="inlineStr">
        <is>
          <t>GET /api/saranam/scheduling/my-schedule</t>
        </is>
      </c>
      <c r="K70" s="11" t="inlineStr"/>
      <c r="L70" s="12" t="inlineStr">
        <is>
          <t>Not Executed</t>
        </is>
      </c>
      <c r="M70" s="12" t="inlineStr"/>
      <c r="N70" s="12" t="inlineStr"/>
      <c r="O70" s="12" t="inlineStr"/>
      <c r="P70" s="11" t="inlineStr"/>
    </row>
    <row r="71" ht="60" customHeight="1">
      <c r="A71" s="15" t="inlineStr">
        <is>
          <t>SCH-070</t>
        </is>
      </c>
      <c r="B71" s="16" t="inlineStr">
        <is>
          <t>My Visits (clinician)</t>
        </is>
      </c>
      <c r="C71" s="16" t="inlineStr">
        <is>
          <t>Acknowledge schedule banner</t>
        </is>
      </c>
      <c r="D71" s="17" t="inlineStr">
        <is>
          <t>High</t>
        </is>
      </c>
      <c r="E71" s="16" t="inlineStr">
        <is>
          <t>Functional</t>
        </is>
      </c>
      <c r="F71" s="16" t="inlineStr">
        <is>
          <t>My schedule not yet acknowledged.</t>
        </is>
      </c>
      <c r="G71" s="16" t="inlineStr">
        <is>
          <t>1. On My Visits click 'Acknowledge'</t>
        </is>
      </c>
      <c r="H71" s="16" t="inlineStr">
        <is>
          <t>N/A</t>
        </is>
      </c>
      <c r="I71" s="16" t="inlineStr">
        <is>
          <t>Acknowledge button shows a spinner then the warning banner disappears (acknowledged=true). On error 'Failed to acknowledge schedule' is shown.</t>
        </is>
      </c>
      <c r="J71" s="16" t="inlineStr">
        <is>
          <t>POST /api/saranam/scheduling/schedules/{scheduleId}/acknowledge</t>
        </is>
      </c>
      <c r="K71" s="11" t="inlineStr"/>
      <c r="L71" s="12" t="inlineStr">
        <is>
          <t>Not Executed</t>
        </is>
      </c>
      <c r="M71" s="12" t="inlineStr"/>
      <c r="N71" s="12" t="inlineStr"/>
      <c r="O71" s="12" t="inlineStr"/>
      <c r="P71" s="11" t="inlineStr"/>
    </row>
    <row r="72" ht="45" customHeight="1">
      <c r="A72" s="15" t="inlineStr">
        <is>
          <t>SCH-071</t>
        </is>
      </c>
      <c r="B72" s="16" t="inlineStr">
        <is>
          <t>My Visits (clinician)</t>
        </is>
      </c>
      <c r="C72" s="16" t="inlineStr">
        <is>
          <t>My Visits empty / no-schedule state (404 handled)</t>
        </is>
      </c>
      <c r="D72" s="18" t="inlineStr">
        <is>
          <t>Medium</t>
        </is>
      </c>
      <c r="E72" s="16" t="inlineStr">
        <is>
          <t>Edge Case</t>
        </is>
      </c>
      <c r="F72" s="16" t="inlineStr">
        <is>
          <t>Clinician has no schedule for this week.</t>
        </is>
      </c>
      <c r="G72" s="16" t="inlineStr">
        <is>
          <t>1. Open /saranam/scheduling/my-visits</t>
        </is>
      </c>
      <c r="H72" s="16" t="inlineStr">
        <is>
          <t>N/A</t>
        </is>
      </c>
      <c r="I72" s="16" t="inlineStr">
        <is>
          <t>A 404 from my-schedule is treated as 'no schedule' (not an error): shows 'No schedule assigned for this week' empty state.</t>
        </is>
      </c>
      <c r="J72" s="16" t="inlineStr">
        <is>
          <t>GET /my-schedule -&gt; 404</t>
        </is>
      </c>
      <c r="K72" s="11" t="inlineStr"/>
      <c r="L72" s="12" t="inlineStr">
        <is>
          <t>Not Executed</t>
        </is>
      </c>
      <c r="M72" s="12" t="inlineStr"/>
      <c r="N72" s="12" t="inlineStr"/>
      <c r="O72" s="12" t="inlineStr"/>
      <c r="P72" s="11" t="inlineStr"/>
    </row>
    <row r="73" ht="60" customHeight="1">
      <c r="A73" s="15" t="inlineStr">
        <is>
          <t>SCH-072</t>
        </is>
      </c>
      <c r="B73" s="16" t="inlineStr">
        <is>
          <t>My Visits (clinician)</t>
        </is>
      </c>
      <c r="C73" s="16" t="inlineStr">
        <is>
          <t>Navigate link + tel link + Start Visit navigation</t>
        </is>
      </c>
      <c r="D73" s="18" t="inlineStr">
        <is>
          <t>Medium</t>
        </is>
      </c>
      <c r="E73" s="16" t="inlineStr">
        <is>
          <t>Functional</t>
        </is>
      </c>
      <c r="F73" s="16" t="inlineStr">
        <is>
          <t>My Visits with a patient having address and phone.</t>
        </is>
      </c>
      <c r="G73" s="16" t="inlineStr">
        <is>
          <t>1. Click Navigate (opens Google Maps in new tab)
2. Click the phone link
3. Click Start Visit</t>
        </is>
      </c>
      <c r="H73" s="16" t="inlineStr">
        <is>
          <t>N/A</t>
        </is>
      </c>
      <c r="I73" s="16" t="inlineStr">
        <is>
          <t>Navigate opens maps.google.com search for the address in a new tab; phone uses tel:; Start Visit routes to /saranam/patients/{patientId}/visit.</t>
        </is>
      </c>
      <c r="J73" s="16" t="inlineStr">
        <is>
          <t>N/A (links/navigation)</t>
        </is>
      </c>
      <c r="K73" s="11" t="inlineStr"/>
      <c r="L73" s="12" t="inlineStr">
        <is>
          <t>Not Executed</t>
        </is>
      </c>
      <c r="M73" s="12" t="inlineStr"/>
      <c r="N73" s="12" t="inlineStr"/>
      <c r="O73" s="12" t="inlineStr"/>
      <c r="P73" s="11" t="inlineStr"/>
    </row>
    <row r="74" ht="30" customHeight="1">
      <c r="A74" s="15" t="inlineStr">
        <is>
          <t>SCH-073</t>
        </is>
      </c>
      <c r="B74" s="16" t="inlineStr">
        <is>
          <t>My Visits (clinician)</t>
        </is>
      </c>
      <c r="C74" s="16" t="inlineStr">
        <is>
          <t>My Visits load failure shows retry</t>
        </is>
      </c>
      <c r="D74" s="19" t="inlineStr">
        <is>
          <t>Low</t>
        </is>
      </c>
      <c r="E74" s="16" t="inlineStr">
        <is>
          <t>Negative</t>
        </is>
      </c>
      <c r="F74" s="16" t="inlineStr">
        <is>
          <t>Simulate a non-404 failure (e.g. 500).</t>
        </is>
      </c>
      <c r="G74" s="16" t="inlineStr">
        <is>
          <t>1. Open My Visits with the API returning 500</t>
        </is>
      </c>
      <c r="H74" s="16" t="inlineStr">
        <is>
          <t>N/A</t>
        </is>
      </c>
      <c r="I74" s="16" t="inlineStr">
        <is>
          <t>An error Alert 'Failed to load your schedule' with a Retry action button is shown.</t>
        </is>
      </c>
      <c r="J74" s="16" t="inlineStr">
        <is>
          <t>GET /my-schedule -&gt; 500</t>
        </is>
      </c>
      <c r="K74" s="11" t="inlineStr"/>
      <c r="L74" s="12" t="inlineStr">
        <is>
          <t>Not Executed</t>
        </is>
      </c>
      <c r="M74" s="12" t="inlineStr"/>
      <c r="N74" s="12" t="inlineStr"/>
      <c r="O74" s="12" t="inlineStr"/>
      <c r="P74" s="11" t="inlineStr"/>
    </row>
    <row r="75" ht="75" customHeight="1">
      <c r="A75" s="8" t="inlineStr">
        <is>
          <t>SCH-074</t>
        </is>
      </c>
      <c r="B75" s="9" t="inlineStr">
        <is>
          <t>Today's Visits (clinician)</t>
        </is>
      </c>
      <c r="C75" s="9" t="inlineStr">
        <is>
          <t>Today's Visits loads with completed counter</t>
        </is>
      </c>
      <c r="D75" s="10" t="inlineStr">
        <is>
          <t>High</t>
        </is>
      </c>
      <c r="E75" s="9" t="inlineStr">
        <is>
          <t>Functional</t>
        </is>
      </c>
      <c r="F75" s="9" t="inlineStr">
        <is>
          <t>Clinician has visits scheduled for today.</t>
        </is>
      </c>
      <c r="G75" s="9" t="inlineStr">
        <is>
          <t>1. Navigate to /saranam/scheduling/my-visits/today</t>
        </is>
      </c>
      <c r="H75" s="9" t="inlineStr">
        <is>
          <t>N/A</t>
        </is>
      </c>
      <c r="I75" s="9" t="inlineStr">
        <is>
          <t>Shows 'Today's Visits', today's date, an 'X of Y completed' chip, and visit cards with status icon, BSC/Onco/Ad-hoc chips, cluster, address, phone and status-appropriate actions.</t>
        </is>
      </c>
      <c r="J75" s="9" t="inlineStr">
        <is>
          <t>GET /api/saranam/scheduling/my-schedule/today</t>
        </is>
      </c>
      <c r="K75" s="11" t="inlineStr"/>
      <c r="L75" s="12" t="inlineStr">
        <is>
          <t>Not Executed</t>
        </is>
      </c>
      <c r="M75" s="12" t="inlineStr"/>
      <c r="N75" s="12" t="inlineStr"/>
      <c r="O75" s="12" t="inlineStr"/>
      <c r="P75" s="11" t="inlineStr"/>
    </row>
    <row r="76" ht="60" customHeight="1">
      <c r="A76" s="8" t="inlineStr">
        <is>
          <t>SCH-075</t>
        </is>
      </c>
      <c r="B76" s="9" t="inlineStr">
        <is>
          <t>Today's Visits (clinician)</t>
        </is>
      </c>
      <c r="C76" s="9" t="inlineStr">
        <is>
          <t>Start -&gt; Complete -&gt; View flow on a visit</t>
        </is>
      </c>
      <c r="D76" s="10" t="inlineStr">
        <is>
          <t>High</t>
        </is>
      </c>
      <c r="E76" s="9" t="inlineStr">
        <is>
          <t>Functional</t>
        </is>
      </c>
      <c r="F76" s="9" t="inlineStr">
        <is>
          <t>A scheduled visit today.</t>
        </is>
      </c>
      <c r="G76" s="9" t="inlineStr">
        <is>
          <t>1. Click Start Visit (scheduled-&gt;in_progress)
2. Click Mark Completed (in_progress-&gt;completed)
3. Click View Assessment</t>
        </is>
      </c>
      <c r="H76" s="9" t="inlineStr">
        <is>
          <t>N/A</t>
        </is>
      </c>
      <c r="I76" s="9" t="inlineStr">
        <is>
          <t>Status transitions optimistically per click; completed shows a View Assessment button linking to /saranam/patients/{patientId}/visit; completed counter increments.</t>
        </is>
      </c>
      <c r="J76" s="9" t="inlineStr">
        <is>
          <t>PUT /slots/{slotId} {status:'in_progress'} then {status:'completed'}</t>
        </is>
      </c>
      <c r="K76" s="11" t="inlineStr"/>
      <c r="L76" s="12" t="inlineStr">
        <is>
          <t>Not Executed</t>
        </is>
      </c>
      <c r="M76" s="12" t="inlineStr"/>
      <c r="N76" s="12" t="inlineStr"/>
      <c r="O76" s="12" t="inlineStr"/>
      <c r="P76" s="11" t="inlineStr"/>
    </row>
    <row r="77" ht="60" customHeight="1">
      <c r="A77" s="8" t="inlineStr">
        <is>
          <t>SCH-076</t>
        </is>
      </c>
      <c r="B77" s="9" t="inlineStr">
        <is>
          <t>Today's Visits (clinician)</t>
        </is>
      </c>
      <c r="C77" s="9" t="inlineStr">
        <is>
          <t>Mark Missed dialog with 'Other' free text</t>
        </is>
      </c>
      <c r="D77" s="13" t="inlineStr">
        <is>
          <t>Medium</t>
        </is>
      </c>
      <c r="E77" s="9" t="inlineStr">
        <is>
          <t>Validation</t>
        </is>
      </c>
      <c r="F77" s="9" t="inlineStr">
        <is>
          <t>An in_progress visit today.</t>
        </is>
      </c>
      <c r="G77" s="9" t="inlineStr">
        <is>
          <t>1. Click Mark Missed
2. Select 'Other', enter details
3. Confirm Missed</t>
        </is>
      </c>
      <c r="H77" s="9" t="inlineStr">
        <is>
          <t>Reason 'Other: Family requested reschedule'</t>
        </is>
      </c>
      <c r="I77" s="9" t="inlineStr">
        <is>
          <t>Confirm disabled until a reason is chosen; with 'Other' the free-text is appended ('Other: ...'); slot becomes missed with that reason.</t>
        </is>
      </c>
      <c r="J77" s="9" t="inlineStr">
        <is>
          <t>PUT /slots/{slotId} {status:'missed', missed_reason}</t>
        </is>
      </c>
      <c r="K77" s="11" t="inlineStr"/>
      <c r="L77" s="12" t="inlineStr">
        <is>
          <t>Not Executed</t>
        </is>
      </c>
      <c r="M77" s="12" t="inlineStr"/>
      <c r="N77" s="12" t="inlineStr"/>
      <c r="O77" s="12" t="inlineStr"/>
      <c r="P77" s="11" t="inlineStr"/>
    </row>
    <row r="78" ht="45" customHeight="1">
      <c r="A78" s="8" t="inlineStr">
        <is>
          <t>SCH-077</t>
        </is>
      </c>
      <c r="B78" s="9" t="inlineStr">
        <is>
          <t>Today's Visits (clinician)</t>
        </is>
      </c>
      <c r="C78" s="9" t="inlineStr">
        <is>
          <t>Today's Visits empty state (no visits / 404)</t>
        </is>
      </c>
      <c r="D78" s="14" t="inlineStr">
        <is>
          <t>Low</t>
        </is>
      </c>
      <c r="E78" s="9" t="inlineStr">
        <is>
          <t>Edge Case</t>
        </is>
      </c>
      <c r="F78" s="9" t="inlineStr">
        <is>
          <t>No visits today.</t>
        </is>
      </c>
      <c r="G78" s="9" t="inlineStr">
        <is>
          <t>1. Open Today's Visits</t>
        </is>
      </c>
      <c r="H78" s="9" t="inlineStr">
        <is>
          <t>N/A</t>
        </is>
      </c>
      <c r="I78" s="9" t="inlineStr">
        <is>
          <t>Shows 'No visits scheduled for today' empty state; a 404 is handled gracefully as empty, not an error.</t>
        </is>
      </c>
      <c r="J78" s="9" t="inlineStr">
        <is>
          <t>GET /my-schedule/today</t>
        </is>
      </c>
      <c r="K78" s="11" t="inlineStr"/>
      <c r="L78" s="12" t="inlineStr">
        <is>
          <t>Not Executed</t>
        </is>
      </c>
      <c r="M78" s="12" t="inlineStr"/>
      <c r="N78" s="12" t="inlineStr"/>
      <c r="O78" s="12" t="inlineStr"/>
      <c r="P78" s="11" t="inlineStr"/>
    </row>
    <row r="79" ht="75" customHeight="1">
      <c r="A79" s="15" t="inlineStr">
        <is>
          <t>SCH-078</t>
        </is>
      </c>
      <c r="B79" s="16" t="inlineStr">
        <is>
          <t>Kit Readiness</t>
        </is>
      </c>
      <c r="C79" s="16" t="inlineStr">
        <is>
          <t>Kit Readiness loads days with ready counter</t>
        </is>
      </c>
      <c r="D79" s="17" t="inlineStr">
        <is>
          <t>High</t>
        </is>
      </c>
      <c r="E79" s="16" t="inlineStr">
        <is>
          <t>Functional</t>
        </is>
      </c>
      <c r="F79" s="16" t="inlineStr">
        <is>
          <t>A schedule with days/slots.</t>
        </is>
      </c>
      <c r="G79" s="16" t="inlineStr">
        <is>
          <t>1. Navigate to /saranam/scheduling/kit/:scheduleId</t>
        </is>
      </c>
      <c r="H79" s="16" t="inlineStr">
        <is>
          <t>N/A</t>
        </is>
      </c>
      <c r="I79" s="16" t="inlineStr">
        <is>
          <t>Header 'Kit Readiness', an 'X/Y days ready' badge (green when all ready else orange), day tabs each with check/warning icon, and the selected day's patient table (#, name, BSC/Active + Onco/Non-Onco, notes).</t>
        </is>
      </c>
      <c r="J79" s="16" t="inlineStr">
        <is>
          <t>GET /api/saranam/scheduling/schedules/{id}</t>
        </is>
      </c>
      <c r="K79" s="11" t="inlineStr"/>
      <c r="L79" s="12" t="inlineStr">
        <is>
          <t>Not Executed</t>
        </is>
      </c>
      <c r="M79" s="12" t="inlineStr"/>
      <c r="N79" s="12" t="inlineStr"/>
      <c r="O79" s="12" t="inlineStr"/>
      <c r="P79" s="11" t="inlineStr"/>
    </row>
    <row r="80" ht="60" customHeight="1">
      <c r="A80" s="15" t="inlineStr">
        <is>
          <t>SCH-079</t>
        </is>
      </c>
      <c r="B80" s="16" t="inlineStr">
        <is>
          <t>Kit Readiness</t>
        </is>
      </c>
      <c r="C80" s="16" t="inlineStr">
        <is>
          <t>Mark Kit Ready for a day</t>
        </is>
      </c>
      <c r="D80" s="17" t="inlineStr">
        <is>
          <t>High</t>
        </is>
      </c>
      <c r="E80" s="16" t="inlineStr">
        <is>
          <t>Functional</t>
        </is>
      </c>
      <c r="F80" s="16" t="inlineStr">
        <is>
          <t>Kit page on a day with kit_ready=false.</t>
        </is>
      </c>
      <c r="G80" s="16" t="inlineStr">
        <is>
          <t>1. Click 'Mark Kit Ready'</t>
        </is>
      </c>
      <c r="H80" s="16" t="inlineStr">
        <is>
          <t>N/A</t>
        </is>
      </c>
      <c r="I80" s="16" t="inlineStr">
        <is>
          <t>Button shows 'Marking...', the day becomes Kit Ready (green badge + 'Marked ready at' timestamp), the X/Y counter updates, and the day tab shows a green check.</t>
        </is>
      </c>
      <c r="J80" s="16" t="inlineStr">
        <is>
          <t>PUT /api/saranam/scheduling/days/{dayId} {kit_ready:true}</t>
        </is>
      </c>
      <c r="K80" s="11" t="inlineStr"/>
      <c r="L80" s="12" t="inlineStr">
        <is>
          <t>Not Executed</t>
        </is>
      </c>
      <c r="M80" s="12" t="inlineStr"/>
      <c r="N80" s="12" t="inlineStr"/>
      <c r="O80" s="12" t="inlineStr"/>
      <c r="P80" s="11" t="inlineStr"/>
    </row>
    <row r="81" ht="75" customHeight="1">
      <c r="A81" s="15" t="inlineStr">
        <is>
          <t>SCH-080</t>
        </is>
      </c>
      <c r="B81" s="16" t="inlineStr">
        <is>
          <t>Kit Readiness</t>
        </is>
      </c>
      <c r="C81" s="16" t="inlineStr">
        <is>
          <t>Kit Readiness empty / no-days and back link</t>
        </is>
      </c>
      <c r="D81" s="19" t="inlineStr">
        <is>
          <t>Low</t>
        </is>
      </c>
      <c r="E81" s="16" t="inlineStr">
        <is>
          <t>UI/UX</t>
        </is>
      </c>
      <c r="F81" s="16" t="inlineStr">
        <is>
          <t>A schedule with no days, plus any schedule.</t>
        </is>
      </c>
      <c r="G81" s="16" t="inlineStr">
        <is>
          <t>1. Open kit page for a schedule with no days
2. Click 'Back to Schedule'</t>
        </is>
      </c>
      <c r="H81" s="16" t="inlineStr">
        <is>
          <t>N/A</t>
        </is>
      </c>
      <c r="I81" s="16" t="inlineStr">
        <is>
          <t>Shows 'No days found in this schedule' card. Back to Schedule navigates to /saranam/scheduling/{scheduleId} (note: this path has no route - verify it 404s/redirects, log as a defect if broken).</t>
        </is>
      </c>
      <c r="J81" s="16" t="inlineStr">
        <is>
          <t>GET /schedules/{id}</t>
        </is>
      </c>
      <c r="K81" s="11" t="inlineStr"/>
      <c r="L81" s="12" t="inlineStr">
        <is>
          <t>Not Executed</t>
        </is>
      </c>
      <c r="M81" s="12" t="inlineStr"/>
      <c r="N81" s="12" t="inlineStr"/>
      <c r="O81" s="12" t="inlineStr"/>
      <c r="P81" s="11" t="inlineStr"/>
    </row>
    <row r="82" ht="90" customHeight="1">
      <c r="A82" s="8" t="inlineStr">
        <is>
          <t>SCH-081</t>
        </is>
      </c>
      <c r="B82" s="9" t="inlineStr">
        <is>
          <t>Deviation Report</t>
        </is>
      </c>
      <c r="C82" s="9" t="inlineStr">
        <is>
          <t>Deviation Report shows summary cards, compliance and per-day table</t>
        </is>
      </c>
      <c r="D82" s="10" t="inlineStr">
        <is>
          <t>High</t>
        </is>
      </c>
      <c r="E82" s="9" t="inlineStr">
        <is>
          <t>Functional</t>
        </is>
      </c>
      <c r="F82" s="9" t="inlineStr">
        <is>
          <t>A schedule with completed/missed/cancelled/adhoc slots and deviations.</t>
        </is>
      </c>
      <c r="G82" s="9" t="inlineStr">
        <is>
          <t>1. Navigate to /saranam/scheduling/deviation-report/:scheduleId</t>
        </is>
      </c>
      <c r="H82" s="9" t="inlineStr">
        <is>
          <t>N/A</t>
        </is>
      </c>
      <c r="I82" s="9" t="inlineStr">
        <is>
          <t>Summary cards (Total, On Time, Late, Missed, Cancelled, Ad-hoc), a Compliance Rate bar (colour by threshold), a 'Reported Deviations' list, and a Daily Breakdown table with Patient/Scheduled/Actual/Status/Reason per slot.</t>
        </is>
      </c>
      <c r="J82" s="9" t="inlineStr">
        <is>
          <t>GET /schedules/{id} + GET /schedules/{id}/deviations</t>
        </is>
      </c>
      <c r="K82" s="11" t="inlineStr"/>
      <c r="L82" s="12" t="inlineStr">
        <is>
          <t>Not Executed</t>
        </is>
      </c>
      <c r="M82" s="12" t="inlineStr"/>
      <c r="N82" s="12" t="inlineStr"/>
      <c r="O82" s="12" t="inlineStr"/>
      <c r="P82" s="11" t="inlineStr"/>
    </row>
    <row r="83" ht="45" customHeight="1">
      <c r="A83" s="8" t="inlineStr">
        <is>
          <t>SCH-082</t>
        </is>
      </c>
      <c r="B83" s="9" t="inlineStr">
        <is>
          <t>Deviation Report</t>
        </is>
      </c>
      <c r="C83" s="9" t="inlineStr">
        <is>
          <t>Deviation Report load failure and not-found</t>
        </is>
      </c>
      <c r="D83" s="13" t="inlineStr">
        <is>
          <t>Medium</t>
        </is>
      </c>
      <c r="E83" s="9" t="inlineStr">
        <is>
          <t>Negative</t>
        </is>
      </c>
      <c r="F83" s="9" t="inlineStr">
        <is>
          <t>Invalid scheduleId / API failure.</t>
        </is>
      </c>
      <c r="G83" s="9" t="inlineStr">
        <is>
          <t>1. Open deviation-report with a bad scheduleId or failing API</t>
        </is>
      </c>
      <c r="H83" s="9" t="inlineStr">
        <is>
          <t>Non-existent GUID</t>
        </is>
      </c>
      <c r="I83" s="9" t="inlineStr">
        <is>
          <t>On failure shows 'Failed to load report data' Alert; if schedule null shows 'Schedule not found' info Alert; no crash.</t>
        </is>
      </c>
      <c r="J83" s="9" t="inlineStr">
        <is>
          <t>GET /schedules/{id} + GET /schedules/{id}/deviations</t>
        </is>
      </c>
      <c r="K83" s="11" t="inlineStr"/>
      <c r="L83" s="12" t="inlineStr">
        <is>
          <t>Not Executed</t>
        </is>
      </c>
      <c r="M83" s="12" t="inlineStr"/>
      <c r="N83" s="12" t="inlineStr"/>
      <c r="O83" s="12" t="inlineStr"/>
      <c r="P83" s="11" t="inlineStr"/>
    </row>
    <row r="84" ht="60" customHeight="1">
      <c r="A84" s="8" t="inlineStr">
        <is>
          <t>SCH-083</t>
        </is>
      </c>
      <c r="B84" s="9" t="inlineStr">
        <is>
          <t>Deviation Report</t>
        </is>
      </c>
      <c r="C84" s="9" t="inlineStr">
        <is>
          <t>Compliance rate computation (late &gt; 30 min) reflected</t>
        </is>
      </c>
      <c r="D84" s="13" t="inlineStr">
        <is>
          <t>Medium</t>
        </is>
      </c>
      <c r="E84" s="9" t="inlineStr">
        <is>
          <t>Data Integrity</t>
        </is>
      </c>
      <c r="F84" s="9" t="inlineStr">
        <is>
          <t>Completed slots with started_at &gt;30 min after scheduled_time.</t>
        </is>
      </c>
      <c r="G84" s="9" t="inlineStr">
        <is>
          <t>1. Open the report and compare Late count vs On Time and Compliance %</t>
        </is>
      </c>
      <c r="H84" s="9" t="inlineStr">
        <is>
          <t>Slot scheduled 10:00 started 10:45</t>
        </is>
      </c>
      <c r="I84" s="9" t="inlineStr">
        <is>
          <t>Visits started &gt;30 min late count as Late; On Time = completed - late; Compliance% = round(onTime/total*100). Bar colour: green &gt;=80, amber &gt;=50, red below.</t>
        </is>
      </c>
      <c r="J84" s="9" t="inlineStr">
        <is>
          <t>N/A (client computed from slot data)</t>
        </is>
      </c>
      <c r="K84" s="11" t="inlineStr"/>
      <c r="L84" s="12" t="inlineStr">
        <is>
          <t>Not Executed</t>
        </is>
      </c>
      <c r="M84" s="12" t="inlineStr"/>
      <c r="N84" s="12" t="inlineStr"/>
      <c r="O84" s="12" t="inlineStr"/>
      <c r="P84" s="11" t="inlineStr"/>
    </row>
    <row r="85" ht="90" customHeight="1">
      <c r="A85" s="15" t="inlineStr">
        <is>
          <t>SCH-084</t>
        </is>
      </c>
      <c r="B85" s="16" t="inlineStr">
        <is>
          <t>Review Dashboard</t>
        </is>
      </c>
      <c r="C85" s="16" t="inlineStr">
        <is>
          <t>Review Dashboard shows metric cards and day breakdown</t>
        </is>
      </c>
      <c r="D85" s="17" t="inlineStr">
        <is>
          <t>High</t>
        </is>
      </c>
      <c r="E85" s="16" t="inlineStr">
        <is>
          <t>Functional</t>
        </is>
      </c>
      <c r="F85" s="16" t="inlineStr">
        <is>
          <t>A review_ready schedule.</t>
        </is>
      </c>
      <c r="G85" s="16" t="inlineStr">
        <is>
          <t>1. Navigate to /saranam/scheduling/review-dashboard/:scheduleId</t>
        </is>
      </c>
      <c r="H85" s="16" t="inlineStr">
        <is>
          <t>N/A</t>
        </is>
      </c>
      <c r="I85" s="16" t="inlineStr">
        <is>
          <t>Header 'Weekly Review' + week label; metric cards (Completion Rate, BSC Coverage, Cluster Efficiency, Missed Visits) coloured by target (Missed inverts: lower is better); Day Breakdown table; Missed Visit Details when present; Review Notes textarea.</t>
        </is>
      </c>
      <c r="J85" s="16" t="inlineStr">
        <is>
          <t>GET /api/saranam/scheduling/schedules/{id}/review</t>
        </is>
      </c>
      <c r="K85" s="11" t="inlineStr"/>
      <c r="L85" s="12" t="inlineStr">
        <is>
          <t>Not Executed</t>
        </is>
      </c>
      <c r="M85" s="12" t="inlineStr"/>
      <c r="N85" s="12" t="inlineStr"/>
      <c r="O85" s="12" t="inlineStr"/>
      <c r="P85" s="11" t="inlineStr"/>
    </row>
    <row r="86" ht="75" customHeight="1">
      <c r="A86" s="15" t="inlineStr">
        <is>
          <t>SCH-085</t>
        </is>
      </c>
      <c r="B86" s="16" t="inlineStr">
        <is>
          <t>Review Dashboard</t>
        </is>
      </c>
      <c r="C86" s="16" t="inlineStr">
        <is>
          <t>Complete Review &amp; Archive</t>
        </is>
      </c>
      <c r="D86" s="17" t="inlineStr">
        <is>
          <t>High</t>
        </is>
      </c>
      <c r="E86" s="16" t="inlineStr">
        <is>
          <t>Functional</t>
        </is>
      </c>
      <c r="F86" s="16" t="inlineStr">
        <is>
          <t>Review Dashboard open for a review_ready schedule.</t>
        </is>
      </c>
      <c r="G86" s="16" t="inlineStr">
        <is>
          <t>1. Enter review notes
2. Click 'Complete Review &amp; Archive'</t>
        </is>
      </c>
      <c r="H86" s="16" t="inlineStr">
        <is>
          <t>Notes 'Good week, 2 misses due to travel'</t>
        </is>
      </c>
      <c r="I86" s="16" t="inlineStr">
        <is>
          <t>Button shows spinner; on success a 'Review Complete' confirmation screen replaces the page and the schedule moves to archived. Status now shows under the Archived tab on the calendar.</t>
        </is>
      </c>
      <c r="J86" s="16" t="inlineStr">
        <is>
          <t>POST /api/saranam/scheduling/schedules/{id}/complete-review {review_notes}</t>
        </is>
      </c>
      <c r="K86" s="11" t="inlineStr"/>
      <c r="L86" s="12" t="inlineStr">
        <is>
          <t>Not Executed</t>
        </is>
      </c>
      <c r="M86" s="12" t="inlineStr"/>
      <c r="N86" s="12" t="inlineStr"/>
      <c r="O86" s="12" t="inlineStr"/>
      <c r="P86" s="11" t="inlineStr"/>
    </row>
    <row r="87" ht="45" customHeight="1">
      <c r="A87" s="15" t="inlineStr">
        <is>
          <t>SCH-086</t>
        </is>
      </c>
      <c r="B87" s="16" t="inlineStr">
        <is>
          <t>Review Dashboard</t>
        </is>
      </c>
      <c r="C87" s="16" t="inlineStr">
        <is>
          <t>Review load failure shows retry</t>
        </is>
      </c>
      <c r="D87" s="19" t="inlineStr">
        <is>
          <t>Low</t>
        </is>
      </c>
      <c r="E87" s="16" t="inlineStr">
        <is>
          <t>Negative</t>
        </is>
      </c>
      <c r="F87" s="16" t="inlineStr">
        <is>
          <t>Failing review API.</t>
        </is>
      </c>
      <c r="G87" s="16" t="inlineStr">
        <is>
          <t>1. Open review-dashboard with the API failing</t>
        </is>
      </c>
      <c r="H87" s="16" t="inlineStr">
        <is>
          <t>N/A</t>
        </is>
      </c>
      <c r="I87" s="16" t="inlineStr">
        <is>
          <t>Error Alert 'Failed to load review data' with Retry; metric cards show '--' for null values.</t>
        </is>
      </c>
      <c r="J87" s="16" t="inlineStr">
        <is>
          <t>GET /schedules/{id}/review</t>
        </is>
      </c>
      <c r="K87" s="11" t="inlineStr"/>
      <c r="L87" s="12" t="inlineStr">
        <is>
          <t>Not Executed</t>
        </is>
      </c>
      <c r="M87" s="12" t="inlineStr"/>
      <c r="N87" s="12" t="inlineStr"/>
      <c r="O87" s="12" t="inlineStr"/>
      <c r="P87" s="11" t="inlineStr"/>
    </row>
    <row r="88" ht="60" customHeight="1">
      <c r="A88" s="8" t="inlineStr">
        <is>
          <t>SCH-087</t>
        </is>
      </c>
      <c r="B88" s="9" t="inlineStr">
        <is>
          <t>Audit Log</t>
        </is>
      </c>
      <c r="C88" s="9" t="inlineStr">
        <is>
          <t>Audit Log lists entries with timestamp, action, actor, details</t>
        </is>
      </c>
      <c r="D88" s="10" t="inlineStr">
        <is>
          <t>High</t>
        </is>
      </c>
      <c r="E88" s="9" t="inlineStr">
        <is>
          <t>Functional</t>
        </is>
      </c>
      <c r="F88" s="9" t="inlineStr">
        <is>
          <t>A schedule with audit activity (slot add/move/remove, submit, approve).</t>
        </is>
      </c>
      <c r="G88" s="9" t="inlineStr">
        <is>
          <t>1. Navigate to /saranam/scheduling/audit/:scheduleId</t>
        </is>
      </c>
      <c r="H88" s="9" t="inlineStr">
        <is>
          <t>N/A</t>
        </is>
      </c>
      <c r="I88" s="9" t="inlineStr">
        <is>
          <t>Table shows Timestamp, colour-coded Action badge, Actor and a Details summary; clicking a row expands a JSON detail block. Pagination appears when &gt; 20 entries.</t>
        </is>
      </c>
      <c r="J88" s="9" t="inlineStr">
        <is>
          <t>GET /api/saranam/scheduling/schedules/{id}/audit-log?page&amp;per_page</t>
        </is>
      </c>
      <c r="K88" s="11" t="inlineStr"/>
      <c r="L88" s="12" t="inlineStr">
        <is>
          <t>Not Executed</t>
        </is>
      </c>
      <c r="M88" s="12" t="inlineStr"/>
      <c r="N88" s="12" t="inlineStr"/>
      <c r="O88" s="12" t="inlineStr"/>
      <c r="P88" s="11" t="inlineStr"/>
    </row>
    <row r="89" ht="60" customHeight="1">
      <c r="A89" s="8" t="inlineStr">
        <is>
          <t>SCH-088</t>
        </is>
      </c>
      <c r="B89" s="9" t="inlineStr">
        <is>
          <t>Audit Log</t>
        </is>
      </c>
      <c r="C89" s="9" t="inlineStr">
        <is>
          <t>Audit Log action filter</t>
        </is>
      </c>
      <c r="D89" s="13" t="inlineStr">
        <is>
          <t>Medium</t>
        </is>
      </c>
      <c r="E89" s="9" t="inlineStr">
        <is>
          <t>Functional</t>
        </is>
      </c>
      <c r="F89" s="9" t="inlineStr">
        <is>
          <t>Audit log with multiple action types.</t>
        </is>
      </c>
      <c r="G89" s="9" t="inlineStr">
        <is>
          <t>1. Open the Filter dropdown and select a specific action (e.g. 'Approve')
2. Then select 'All Actions'</t>
        </is>
      </c>
      <c r="H89" s="9" t="inlineStr">
        <is>
          <t>Action filter</t>
        </is>
      </c>
      <c r="I89" s="9" t="inlineStr">
        <is>
          <t>Selecting an action re-fetches filtered entries and resets to page 1; 'All Actions' clears the filter. Filter options derive from loaded entries.</t>
        </is>
      </c>
      <c r="J89" s="9" t="inlineStr">
        <is>
          <t>GET /schedules/{id}/audit-log?action=&lt;value&gt;</t>
        </is>
      </c>
      <c r="K89" s="11" t="inlineStr"/>
      <c r="L89" s="12" t="inlineStr">
        <is>
          <t>Not Executed</t>
        </is>
      </c>
      <c r="M89" s="12" t="inlineStr"/>
      <c r="N89" s="12" t="inlineStr"/>
      <c r="O89" s="12" t="inlineStr"/>
      <c r="P89" s="11" t="inlineStr"/>
    </row>
    <row r="90" ht="60" customHeight="1">
      <c r="A90" s="8" t="inlineStr">
        <is>
          <t>SCH-089</t>
        </is>
      </c>
      <c r="B90" s="9" t="inlineStr">
        <is>
          <t>Audit Log</t>
        </is>
      </c>
      <c r="C90" s="9" t="inlineStr">
        <is>
          <t>Audit Log pagination navigates pages</t>
        </is>
      </c>
      <c r="D90" s="13" t="inlineStr">
        <is>
          <t>Medium</t>
        </is>
      </c>
      <c r="E90" s="9" t="inlineStr">
        <is>
          <t>Functional</t>
        </is>
      </c>
      <c r="F90" s="9" t="inlineStr">
        <is>
          <t>Schedule with &gt; 20 audit entries.</t>
        </is>
      </c>
      <c r="G90" s="9" t="inlineStr">
        <is>
          <t>1. Click Next then Previous; observe page indicator and disabled states</t>
        </is>
      </c>
      <c r="H90" s="9" t="inlineStr">
        <is>
          <t>N/A</t>
        </is>
      </c>
      <c r="I90" s="9" t="inlineStr">
        <is>
          <t>Page increments/decrements fetch the matching page; Previous disabled on page 1, Next disabled on last page; 'Page X of Y' is accurate.</t>
        </is>
      </c>
      <c r="J90" s="9" t="inlineStr">
        <is>
          <t>GET /schedules/{id}/audit-log?page=N&amp;per_page=20</t>
        </is>
      </c>
      <c r="K90" s="11" t="inlineStr"/>
      <c r="L90" s="12" t="inlineStr">
        <is>
          <t>Not Executed</t>
        </is>
      </c>
      <c r="M90" s="12" t="inlineStr"/>
      <c r="N90" s="12" t="inlineStr"/>
      <c r="O90" s="12" t="inlineStr"/>
      <c r="P90" s="11" t="inlineStr"/>
    </row>
    <row r="91" ht="30" customHeight="1">
      <c r="A91" s="8" t="inlineStr">
        <is>
          <t>SCH-090</t>
        </is>
      </c>
      <c r="B91" s="9" t="inlineStr">
        <is>
          <t>Audit Log</t>
        </is>
      </c>
      <c r="C91" s="9" t="inlineStr">
        <is>
          <t>Audit Log empty state</t>
        </is>
      </c>
      <c r="D91" s="14" t="inlineStr">
        <is>
          <t>Low</t>
        </is>
      </c>
      <c r="E91" s="9" t="inlineStr">
        <is>
          <t>UI/UX</t>
        </is>
      </c>
      <c r="F91" s="9" t="inlineStr">
        <is>
          <t>A schedule with no audit entries.</t>
        </is>
      </c>
      <c r="G91" s="9" t="inlineStr">
        <is>
          <t>1. Open audit page for it</t>
        </is>
      </c>
      <c r="H91" s="9" t="inlineStr">
        <is>
          <t>N/A</t>
        </is>
      </c>
      <c r="I91" s="9" t="inlineStr">
        <is>
          <t>'No audit log entries found' empty state with history icon.</t>
        </is>
      </c>
      <c r="J91" s="9" t="inlineStr">
        <is>
          <t>GET /schedules/{id}/audit-log</t>
        </is>
      </c>
      <c r="K91" s="11" t="inlineStr"/>
      <c r="L91" s="12" t="inlineStr">
        <is>
          <t>Not Executed</t>
        </is>
      </c>
      <c r="M91" s="12" t="inlineStr"/>
      <c r="N91" s="12" t="inlineStr"/>
      <c r="O91" s="12" t="inlineStr"/>
      <c r="P91" s="11" t="inlineStr"/>
    </row>
    <row r="92" ht="60" customHeight="1">
      <c r="A92" s="8" t="inlineStr">
        <is>
          <t>SCH-091</t>
        </is>
      </c>
      <c r="B92" s="9" t="inlineStr">
        <is>
          <t>Audit Log</t>
        </is>
      </c>
      <c r="C92" s="9" t="inlineStr">
        <is>
          <t>Data integrity: planning actions create matching audit entries</t>
        </is>
      </c>
      <c r="D92" s="10" t="inlineStr">
        <is>
          <t>High</t>
        </is>
      </c>
      <c r="E92" s="9" t="inlineStr">
        <is>
          <t>Data Integrity</t>
        </is>
      </c>
      <c r="F92" s="9" t="inlineStr">
        <is>
          <t>Draft schedule open in another tab.</t>
        </is>
      </c>
      <c r="G92" s="9" t="inlineStr">
        <is>
          <t>1. On the board: add a slot, move it, remove it, then submit
2. Open the Audit Log for that schedule</t>
        </is>
      </c>
      <c r="H92" s="9" t="inlineStr">
        <is>
          <t>N/A</t>
        </is>
      </c>
      <c r="I92" s="9" t="inlineStr">
        <is>
          <t>Audit log contains entries for each action (add/move/remove/submit) with correct actor and patient/day details; ordering newest first.</t>
        </is>
      </c>
      <c r="J92" s="9" t="inlineStr">
        <is>
          <t>GET /schedules/{id}/audit-log</t>
        </is>
      </c>
      <c r="K92" s="11" t="inlineStr"/>
      <c r="L92" s="12" t="inlineStr">
        <is>
          <t>Not Executed</t>
        </is>
      </c>
      <c r="M92" s="12" t="inlineStr"/>
      <c r="N92" s="12" t="inlineStr"/>
      <c r="O92" s="12" t="inlineStr"/>
      <c r="P92" s="11" t="inlineStr"/>
    </row>
    <row r="93" ht="60" customHeight="1">
      <c r="A93" s="15" t="inlineStr">
        <is>
          <t>SCH-092</t>
        </is>
      </c>
      <c r="B93" s="16" t="inlineStr">
        <is>
          <t>On-Call Roster</t>
        </is>
      </c>
      <c r="C93" s="16" t="inlineStr">
        <is>
          <t>On-Call Roster loads list (or empty state)</t>
        </is>
      </c>
      <c r="D93" s="17" t="inlineStr">
        <is>
          <t>High</t>
        </is>
      </c>
      <c r="E93" s="16" t="inlineStr">
        <is>
          <t>Functional</t>
        </is>
      </c>
      <c r="F93" s="16" t="inlineStr">
        <is>
          <t>Logged in; team members exist.</t>
        </is>
      </c>
      <c r="G93" s="16" t="inlineStr">
        <is>
          <t>1. Navigate to /saranam/scheduling/on-call</t>
        </is>
      </c>
      <c r="H93" s="16" t="inlineStr">
        <is>
          <t>N/A</t>
        </is>
      </c>
      <c r="I93" s="16" t="inlineStr">
        <is>
          <t>Header 'On-Call Roster' with Refresh and Add On-Call buttons; a table of Week/Clinician/Phone/Notes/Actions or an empty state with an Add On-Call CTA.</t>
        </is>
      </c>
      <c r="J93" s="16" t="inlineStr">
        <is>
          <t>GET /api/saranam/scheduling/on-call + GET /available-team</t>
        </is>
      </c>
      <c r="K93" s="11" t="inlineStr"/>
      <c r="L93" s="12" t="inlineStr">
        <is>
          <t>Not Executed</t>
        </is>
      </c>
      <c r="M93" s="12" t="inlineStr"/>
      <c r="N93" s="12" t="inlineStr"/>
      <c r="O93" s="12" t="inlineStr"/>
      <c r="P93" s="11" t="inlineStr"/>
    </row>
    <row r="94" ht="90" customHeight="1">
      <c r="A94" s="15" t="inlineStr">
        <is>
          <t>SCH-093</t>
        </is>
      </c>
      <c r="B94" s="16" t="inlineStr">
        <is>
          <t>On-Call Roster</t>
        </is>
      </c>
      <c r="C94" s="16" t="inlineStr">
        <is>
          <t>Add on-call entry with auto week-end calculation</t>
        </is>
      </c>
      <c r="D94" s="17" t="inlineStr">
        <is>
          <t>High</t>
        </is>
      </c>
      <c r="E94" s="16" t="inlineStr">
        <is>
          <t>Functional</t>
        </is>
      </c>
      <c r="F94" s="16" t="inlineStr">
        <is>
          <t>On-Call page open.</t>
        </is>
      </c>
      <c r="G94" s="16" t="inlineStr">
        <is>
          <t>1. Click Add On-Call
2. Pick Week Start Date (week end auto = start+6, disabled field)
3. Select a clinician, enter phone numbers, add notes
4. Click Create</t>
        </is>
      </c>
      <c r="H94" s="16" t="inlineStr">
        <is>
          <t>Start 2026-06-08, clinician 'Dr. Anand', phones '+91 98765 43210, +91 90000 11111'</t>
        </is>
      </c>
      <c r="I94" s="16" t="inlineStr">
        <is>
          <t>Week End auto-fills to 2026-06-14; Create disabled until week_start + clinician set; entry is created and appears in the table with comma-joined phones.</t>
        </is>
      </c>
      <c r="J94" s="16" t="inlineStr">
        <is>
          <t>POST /api/saranam/scheduling/on-call {week_start_date, week_end_date, clinician_user_id, phone_numbers, notes}</t>
        </is>
      </c>
      <c r="K94" s="11" t="inlineStr"/>
      <c r="L94" s="12" t="inlineStr">
        <is>
          <t>Not Executed</t>
        </is>
      </c>
      <c r="M94" s="12" t="inlineStr"/>
      <c r="N94" s="12" t="inlineStr"/>
      <c r="O94" s="12" t="inlineStr"/>
      <c r="P94" s="11" t="inlineStr"/>
    </row>
    <row r="95" ht="45" customHeight="1">
      <c r="A95" s="15" t="inlineStr">
        <is>
          <t>SCH-094</t>
        </is>
      </c>
      <c r="B95" s="16" t="inlineStr">
        <is>
          <t>On-Call Roster</t>
        </is>
      </c>
      <c r="C95" s="16" t="inlineStr">
        <is>
          <t>Edit an on-call entry</t>
        </is>
      </c>
      <c r="D95" s="18" t="inlineStr">
        <is>
          <t>Medium</t>
        </is>
      </c>
      <c r="E95" s="16" t="inlineStr">
        <is>
          <t>Functional</t>
        </is>
      </c>
      <c r="F95" s="16" t="inlineStr">
        <is>
          <t>An on-call entry exists.</t>
        </is>
      </c>
      <c r="G95" s="16" t="inlineStr">
        <is>
          <t>1. Click the pencil, change clinician/phones/notes, click Update</t>
        </is>
      </c>
      <c r="H95" s="16" t="inlineStr">
        <is>
          <t>Change phone list</t>
        </is>
      </c>
      <c r="I95" s="16" t="inlineStr">
        <is>
          <t>Dialog pre-fills existing values; Update saves and the row reflects changes. 404 if the entry no longer exists.</t>
        </is>
      </c>
      <c r="J95" s="16" t="inlineStr">
        <is>
          <t>PUT /api/saranam/scheduling/on-call/{id}</t>
        </is>
      </c>
      <c r="K95" s="11" t="inlineStr"/>
      <c r="L95" s="12" t="inlineStr">
        <is>
          <t>Not Executed</t>
        </is>
      </c>
      <c r="M95" s="12" t="inlineStr"/>
      <c r="N95" s="12" t="inlineStr"/>
      <c r="O95" s="12" t="inlineStr"/>
      <c r="P95" s="11" t="inlineStr"/>
    </row>
    <row r="96" ht="60" customHeight="1">
      <c r="A96" s="15" t="inlineStr">
        <is>
          <t>SCH-095</t>
        </is>
      </c>
      <c r="B96" s="16" t="inlineStr">
        <is>
          <t>On-Call Roster</t>
        </is>
      </c>
      <c r="C96" s="16" t="inlineStr">
        <is>
          <t>Delete an on-call entry with confirmation</t>
        </is>
      </c>
      <c r="D96" s="18" t="inlineStr">
        <is>
          <t>Medium</t>
        </is>
      </c>
      <c r="E96" s="16" t="inlineStr">
        <is>
          <t>Functional</t>
        </is>
      </c>
      <c r="F96" s="16" t="inlineStr">
        <is>
          <t>An on-call entry exists.</t>
        </is>
      </c>
      <c r="G96" s="16" t="inlineStr">
        <is>
          <t>1. Click the red trash icon
2. Confirm the deletion dialog</t>
        </is>
      </c>
      <c r="H96" s="16" t="inlineStr">
        <is>
          <t>N/A</t>
        </is>
      </c>
      <c r="I96" s="16" t="inlineStr">
        <is>
          <t>On confirm the entry is deleted and the list refreshes without it; cancel keeps it. On error an alert 'Failed to delete on-call entry'.</t>
        </is>
      </c>
      <c r="J96" s="16" t="inlineStr">
        <is>
          <t>DELETE /api/saranam/scheduling/on-call/{id}</t>
        </is>
      </c>
      <c r="K96" s="11" t="inlineStr"/>
      <c r="L96" s="12" t="inlineStr">
        <is>
          <t>Not Executed</t>
        </is>
      </c>
      <c r="M96" s="12" t="inlineStr"/>
      <c r="N96" s="12" t="inlineStr"/>
      <c r="O96" s="12" t="inlineStr"/>
      <c r="P96" s="11" t="inlineStr"/>
    </row>
    <row r="97" ht="105" customHeight="1">
      <c r="A97" s="8" t="inlineStr">
        <is>
          <t>SCH-096</t>
        </is>
      </c>
      <c r="B97" s="9" t="inlineStr">
        <is>
          <t>Unscheduled Alerts</t>
        </is>
      </c>
      <c r="C97" s="9" t="inlineStr">
        <is>
          <t>Alerts page lists overdue patients sorted by days overdue</t>
        </is>
      </c>
      <c r="D97" s="10" t="inlineStr">
        <is>
          <t>High</t>
        </is>
      </c>
      <c r="E97" s="9" t="inlineStr">
        <is>
          <t>Functional</t>
        </is>
      </c>
      <c r="F97" s="9" t="inlineStr">
        <is>
          <t>Patients exceeding the visit-gap threshold and not scheduled this week.</t>
        </is>
      </c>
      <c r="G97" s="9" t="inlineStr">
        <is>
          <t>1. Navigate to /saranam/scheduling/alerts</t>
        </is>
      </c>
      <c r="H97" s="9" t="inlineStr">
        <is>
          <t>N/A</t>
        </is>
      </c>
      <c r="I97" s="9" t="inlineStr">
        <is>
          <t>Header 'Unscheduled Patient Alerts'; an orange count banner 'N patients need attention'; alert cards (sorted most overdue first) showing name, BSC/Onco badges, priority, last-visit days, frequency, cluster, and a days-overdue badge with severity colour.</t>
        </is>
      </c>
      <c r="J97" s="9" t="inlineStr">
        <is>
          <t>GET /api/saranam/scheduling/alerts/unscheduled</t>
        </is>
      </c>
      <c r="K97" s="11" t="inlineStr"/>
      <c r="L97" s="12" t="inlineStr">
        <is>
          <t>Not Executed</t>
        </is>
      </c>
      <c r="M97" s="12" t="inlineStr"/>
      <c r="N97" s="12" t="inlineStr"/>
      <c r="O97" s="12" t="inlineStr"/>
      <c r="P97" s="11" t="inlineStr"/>
    </row>
    <row r="98" ht="60" customHeight="1">
      <c r="A98" s="8" t="inlineStr">
        <is>
          <t>SCH-097</t>
        </is>
      </c>
      <c r="B98" s="9" t="inlineStr">
        <is>
          <t>Unscheduled Alerts</t>
        </is>
      </c>
      <c r="C98" s="9" t="inlineStr">
        <is>
          <t>Alerts all-clear empty state + Refresh</t>
        </is>
      </c>
      <c r="D98" s="13" t="inlineStr">
        <is>
          <t>Medium</t>
        </is>
      </c>
      <c r="E98" s="9" t="inlineStr">
        <is>
          <t>UI/UX</t>
        </is>
      </c>
      <c r="F98" s="9" t="inlineStr">
        <is>
          <t>No overdue/unscheduled patients (all scheduled).</t>
        </is>
      </c>
      <c r="G98" s="9" t="inlineStr">
        <is>
          <t>1. Open alerts page
2. Click Refresh</t>
        </is>
      </c>
      <c r="H98" s="9" t="inlineStr">
        <is>
          <t>N/A</t>
        </is>
      </c>
      <c r="I98" s="9" t="inlineStr">
        <is>
          <t>Green 'All patients are scheduled - no alerts' card shown; Refresh re-fetches. Severity colours: &gt;=14d red, &gt;=7d orange, &gt;=3d yellow.</t>
        </is>
      </c>
      <c r="J98" s="9" t="inlineStr">
        <is>
          <t>GET /alerts/unscheduled</t>
        </is>
      </c>
      <c r="K98" s="11" t="inlineStr"/>
      <c r="L98" s="12" t="inlineStr">
        <is>
          <t>Not Executed</t>
        </is>
      </c>
      <c r="M98" s="12" t="inlineStr"/>
      <c r="N98" s="12" t="inlineStr"/>
      <c r="O98" s="12" t="inlineStr"/>
      <c r="P98" s="11" t="inlineStr"/>
    </row>
    <row r="99" ht="90" customHeight="1">
      <c r="A99" s="15" t="inlineStr">
        <is>
          <t>SCH-098</t>
        </is>
      </c>
      <c r="B99" s="16" t="inlineStr">
        <is>
          <t>ScheduleDayMap</t>
        </is>
      </c>
      <c r="C99" s="16" t="inlineStr">
        <is>
          <t>Map renders hospital pins, patient markers and per-vehicle routes</t>
        </is>
      </c>
      <c r="D99" s="17" t="inlineStr">
        <is>
          <t>High</t>
        </is>
      </c>
      <c r="E99" s="16" t="inlineStr">
        <is>
          <t>Functional</t>
        </is>
      </c>
      <c r="F99" s="16" t="inlineStr">
        <is>
          <t>Google Maps key configured; day with GPS patients across two vehicles.</t>
        </is>
      </c>
      <c r="G99" s="16" t="inlineStr">
        <is>
          <t>1. Open the board/active-visits map for a day with multi-vehicle GPS patients</t>
        </is>
      </c>
      <c r="H99" s="16" t="inlineStr">
        <is>
          <t>N/A</t>
        </is>
      </c>
      <c r="I99" s="16" t="inlineStr">
        <is>
          <t>Hospital pins (K, KC) always render; numbered patient markers per vehicle in distinct colours; coloured road polylines via Directions API with per-leg km/time labels; header total km + drive time; per-vehicle route summary and legend.</t>
        </is>
      </c>
      <c r="J99" s="16" t="inlineStr">
        <is>
          <t>Google Maps JS Directions + patientsApi.getZoneBoundaries (zone overlay)</t>
        </is>
      </c>
      <c r="K99" s="11" t="inlineStr"/>
      <c r="L99" s="12" t="inlineStr">
        <is>
          <t>Not Executed</t>
        </is>
      </c>
      <c r="M99" s="12" t="inlineStr"/>
      <c r="N99" s="12" t="inlineStr"/>
      <c r="O99" s="12" t="inlineStr"/>
      <c r="P99" s="11" t="inlineStr"/>
    </row>
    <row r="100" ht="90" customHeight="1">
      <c r="A100" s="15" t="inlineStr">
        <is>
          <t>SCH-099</t>
        </is>
      </c>
      <c r="B100" s="16" t="inlineStr">
        <is>
          <t>ScheduleDayMap</t>
        </is>
      </c>
      <c r="C100" s="16" t="inlineStr">
        <is>
          <t>Map geocodes address-only patients and flags location-less patients</t>
        </is>
      </c>
      <c r="D100" s="18" t="inlineStr">
        <is>
          <t>Medium</t>
        </is>
      </c>
      <c r="E100" s="16" t="inlineStr">
        <is>
          <t>Edge Case</t>
        </is>
      </c>
      <c r="F100" s="16" t="inlineStr">
        <is>
          <t>Mix of GPS patients, address-only patients, and one with neither GPS nor address.</t>
        </is>
      </c>
      <c r="G100" s="16" t="inlineStr">
        <is>
          <t>1. Open the map for that day</t>
        </is>
      </c>
      <c r="H100" s="16" t="inlineStr">
        <is>
          <t>N/A</t>
        </is>
      </c>
      <c r="I100" s="16" t="inlineStr">
        <is>
          <t>Address-only patients are geocoded (header shows 'N geocoded from address', marker info window notes 'approx.'); patients with no GPS and no address show 'N without location &amp; address' in red and are excluded from the route.</t>
        </is>
      </c>
      <c r="J100" s="16" t="inlineStr">
        <is>
          <t>Google Geocoder</t>
        </is>
      </c>
      <c r="K100" s="11" t="inlineStr"/>
      <c r="L100" s="12" t="inlineStr">
        <is>
          <t>Not Executed</t>
        </is>
      </c>
      <c r="M100" s="12" t="inlineStr"/>
      <c r="N100" s="12" t="inlineStr"/>
      <c r="O100" s="12" t="inlineStr"/>
      <c r="P100" s="11" t="inlineStr"/>
    </row>
    <row r="101" ht="75" customHeight="1">
      <c r="A101" s="15" t="inlineStr">
        <is>
          <t>SCH-100</t>
        </is>
      </c>
      <c r="B101" s="16" t="inlineStr">
        <is>
          <t>ScheduleDayMap</t>
        </is>
      </c>
      <c r="C101" s="16" t="inlineStr">
        <is>
          <t>Map empty state and missing Google key handling</t>
        </is>
      </c>
      <c r="D101" s="19" t="inlineStr">
        <is>
          <t>Low</t>
        </is>
      </c>
      <c r="E101" s="16" t="inlineStr">
        <is>
          <t>Edge Case</t>
        </is>
      </c>
      <c r="F101" s="16" t="inlineStr">
        <is>
          <t>A day with no slots; separately an environment without a Maps key.</t>
        </is>
      </c>
      <c r="G101" s="16" t="inlineStr">
        <is>
          <t>1. Open the map for an empty day
2. Open a day's map when VITE_GOOGLE_MAPS_KEY is unset</t>
        </is>
      </c>
      <c r="H101" s="16" t="inlineStr">
        <is>
          <t>N/A</t>
        </is>
      </c>
      <c r="I101" s="16" t="inlineStr">
        <is>
          <t>Empty day shows 'No patients scheduled' overlay. Without a Maps key the map fails to load and shows 'Loading map...'/blank rather than crashing the page (log as a defect/environment note).</t>
        </is>
      </c>
      <c r="J101" s="16" t="inlineStr">
        <is>
          <t>Google Maps JS</t>
        </is>
      </c>
      <c r="K101" s="11" t="inlineStr"/>
      <c r="L101" s="12" t="inlineStr">
        <is>
          <t>Not Executed</t>
        </is>
      </c>
      <c r="M101" s="12" t="inlineStr"/>
      <c r="N101" s="12" t="inlineStr"/>
      <c r="O101" s="12" t="inlineStr"/>
      <c r="P101" s="11" t="inlineStr"/>
    </row>
    <row r="102" ht="45" customHeight="1">
      <c r="A102" s="8" t="inlineStr">
        <is>
          <t>SCH-101</t>
        </is>
      </c>
      <c r="B102" s="9" t="inlineStr">
        <is>
          <t>Permissions &amp; Session</t>
        </is>
      </c>
      <c r="C102" s="9" t="inlineStr">
        <is>
          <t>Unauthenticated access redirects to login</t>
        </is>
      </c>
      <c r="D102" s="10" t="inlineStr">
        <is>
          <t>High</t>
        </is>
      </c>
      <c r="E102" s="9" t="inlineStr">
        <is>
          <t>Permission</t>
        </is>
      </c>
      <c r="F102" s="9" t="inlineStr">
        <is>
          <t>No valid session (clear localStorage tokens).</t>
        </is>
      </c>
      <c r="G102" s="9" t="inlineStr">
        <is>
          <t>1. Clear access_token/refresh_token
2. Navigate to /saranam/scheduling (and a deep route like /board/:id)</t>
        </is>
      </c>
      <c r="H102" s="9" t="inlineStr">
        <is>
          <t>N/A</t>
        </is>
      </c>
      <c r="I102" s="9" t="inlineStr">
        <is>
          <t>ProtectedRoute redirects to /login; no scheduling data is loaded.</t>
        </is>
      </c>
      <c r="J102" s="9" t="inlineStr">
        <is>
          <t>N/A (route guard)</t>
        </is>
      </c>
      <c r="K102" s="11" t="inlineStr"/>
      <c r="L102" s="12" t="inlineStr">
        <is>
          <t>Not Executed</t>
        </is>
      </c>
      <c r="M102" s="12" t="inlineStr"/>
      <c r="N102" s="12" t="inlineStr"/>
      <c r="O102" s="12" t="inlineStr"/>
      <c r="P102" s="11" t="inlineStr"/>
    </row>
    <row r="103" ht="75" customHeight="1">
      <c r="A103" s="8" t="inlineStr">
        <is>
          <t>SCH-102</t>
        </is>
      </c>
      <c r="B103" s="9" t="inlineStr">
        <is>
          <t>Permissions &amp; Session</t>
        </is>
      </c>
      <c r="C103" s="9" t="inlineStr">
        <is>
          <t>Expired access token triggers refresh then retry</t>
        </is>
      </c>
      <c r="D103" s="10" t="inlineStr">
        <is>
          <t>High</t>
        </is>
      </c>
      <c r="E103" s="9" t="inlineStr">
        <is>
          <t>Permission</t>
        </is>
      </c>
      <c r="F103" s="9" t="inlineStr">
        <is>
          <t>Valid refresh_token but expired access_token.</t>
        </is>
      </c>
      <c r="G103" s="9" t="inlineStr">
        <is>
          <t>1. With an expired access token, perform an action that calls a scheduling API (e.g. open the calendar)</t>
        </is>
      </c>
      <c r="H103" s="9" t="inlineStr">
        <is>
          <t>N/A</t>
        </is>
      </c>
      <c r="I103" s="9" t="inlineStr">
        <is>
          <t>Axios interceptor catches 401, POSTs /auth/refresh, stores a new access_token and transparently retries the original request; data loads without a visible login redirect.</t>
        </is>
      </c>
      <c r="J103" s="9" t="inlineStr">
        <is>
          <t>POST /api/auth/refresh then retry original</t>
        </is>
      </c>
      <c r="K103" s="11" t="inlineStr"/>
      <c r="L103" s="12" t="inlineStr">
        <is>
          <t>Not Executed</t>
        </is>
      </c>
      <c r="M103" s="12" t="inlineStr"/>
      <c r="N103" s="12" t="inlineStr"/>
      <c r="O103" s="12" t="inlineStr"/>
      <c r="P103" s="11" t="inlineStr"/>
    </row>
    <row r="104" ht="45" customHeight="1">
      <c r="A104" s="8" t="inlineStr">
        <is>
          <t>SCH-103</t>
        </is>
      </c>
      <c r="B104" s="9" t="inlineStr">
        <is>
          <t>Permissions &amp; Session</t>
        </is>
      </c>
      <c r="C104" s="9" t="inlineStr">
        <is>
          <t>Refresh failure logs out to login</t>
        </is>
      </c>
      <c r="D104" s="10" t="inlineStr">
        <is>
          <t>High</t>
        </is>
      </c>
      <c r="E104" s="9" t="inlineStr">
        <is>
          <t>Permission</t>
        </is>
      </c>
      <c r="F104" s="9" t="inlineStr">
        <is>
          <t>Expired access token AND invalid/expired refresh token.</t>
        </is>
      </c>
      <c r="G104" s="9" t="inlineStr">
        <is>
          <t>1. With both tokens invalid, trigger any scheduling API call</t>
        </is>
      </c>
      <c r="H104" s="9" t="inlineStr">
        <is>
          <t>N/A</t>
        </is>
      </c>
      <c r="I104" s="9" t="inlineStr">
        <is>
          <t>Refresh fails; access_token/refresh_token/user are cleared from localStorage and the app redirects to /login.</t>
        </is>
      </c>
      <c r="J104" s="9" t="inlineStr">
        <is>
          <t>POST /api/auth/refresh -&gt; failure</t>
        </is>
      </c>
      <c r="K104" s="11" t="inlineStr"/>
      <c r="L104" s="12" t="inlineStr">
        <is>
          <t>Not Executed</t>
        </is>
      </c>
      <c r="M104" s="12" t="inlineStr"/>
      <c r="N104" s="12" t="inlineStr"/>
      <c r="O104" s="12" t="inlineStr"/>
      <c r="P104" s="11" t="inlineStr"/>
    </row>
    <row r="105" ht="75" customHeight="1">
      <c r="A105" s="8" t="inlineStr">
        <is>
          <t>SCH-104</t>
        </is>
      </c>
      <c r="B105" s="9" t="inlineStr">
        <is>
          <t>Permissions &amp; Session</t>
        </is>
      </c>
      <c r="C105" s="9" t="inlineStr">
        <is>
          <t>Any authenticated user can submit and approve (no role separation) - governance check</t>
        </is>
      </c>
      <c r="D105" s="13" t="inlineStr">
        <is>
          <t>Medium</t>
        </is>
      </c>
      <c r="E105" s="9" t="inlineStr">
        <is>
          <t>Permission</t>
        </is>
      </c>
      <c r="F105" s="9" t="inlineStr">
        <is>
          <t>Logged in as a non-admin clinician user.</t>
        </is>
      </c>
      <c r="G105" s="9" t="inlineStr">
        <is>
          <t>1. Create/open a draft, Submit for Approval, then Approve the same schedule</t>
        </is>
      </c>
      <c r="H105" s="9" t="inlineStr">
        <is>
          <t>N/A</t>
        </is>
      </c>
      <c r="I105" s="9" t="inlineStr">
        <is>
          <t>Both actions succeed for the same user (no enforced approver role in code). FLAG to client/PM: confirm whether self-approval / role separation must be enforced before go-live; record as a governance finding.</t>
        </is>
      </c>
      <c r="J105" s="9" t="inlineStr">
        <is>
          <t>POST /schedules/{id}/submit then /approve</t>
        </is>
      </c>
      <c r="K105" s="11" t="inlineStr"/>
      <c r="L105" s="12" t="inlineStr">
        <is>
          <t>Not Executed</t>
        </is>
      </c>
      <c r="M105" s="12" t="inlineStr"/>
      <c r="N105" s="12" t="inlineStr"/>
      <c r="O105" s="12" t="inlineStr"/>
      <c r="P105" s="11" t="inlineStr"/>
    </row>
    <row r="106" ht="75" customHeight="1">
      <c r="A106" s="15" t="inlineStr">
        <is>
          <t>SCH-105</t>
        </is>
      </c>
      <c r="B106" s="16" t="inlineStr">
        <is>
          <t>Validation &amp; Negative</t>
        </is>
      </c>
      <c r="C106" s="16" t="inlineStr">
        <is>
          <t>Scheduling for a past week is permitted by the date picker</t>
        </is>
      </c>
      <c r="D106" s="18" t="inlineStr">
        <is>
          <t>Medium</t>
        </is>
      </c>
      <c r="E106" s="16" t="inlineStr">
        <is>
          <t>Edge Case</t>
        </is>
      </c>
      <c r="F106" s="16" t="inlineStr">
        <is>
          <t>Today is 2026-06-01.</t>
        </is>
      </c>
      <c r="G106" s="16" t="inlineStr">
        <is>
          <t>1. New Schedule -&gt; pick a past week start (2026-05-04) -&gt; Create</t>
        </is>
      </c>
      <c r="H106" s="16" t="inlineStr">
        <is>
          <t>Week start 2026-05-04</t>
        </is>
      </c>
      <c r="I106" s="16" t="inlineStr">
        <is>
          <t>Document actual behaviour: the date field has no min so a past week can be entered; verify backend accepts or rejects (ValueError -&gt; 400). If it creates a past-dated schedule, flag whether that is desired.</t>
        </is>
      </c>
      <c r="J106" s="16" t="inlineStr">
        <is>
          <t>POST /schedules {week_start_date}</t>
        </is>
      </c>
      <c r="K106" s="11" t="inlineStr"/>
      <c r="L106" s="12" t="inlineStr">
        <is>
          <t>Not Executed</t>
        </is>
      </c>
      <c r="M106" s="12" t="inlineStr"/>
      <c r="N106" s="12" t="inlineStr"/>
      <c r="O106" s="12" t="inlineStr"/>
      <c r="P106" s="11" t="inlineStr"/>
    </row>
    <row r="107" ht="60" customHeight="1">
      <c r="A107" s="15" t="inlineStr">
        <is>
          <t>SCH-106</t>
        </is>
      </c>
      <c r="B107" s="16" t="inlineStr">
        <is>
          <t>Validation &amp; Negative</t>
        </is>
      </c>
      <c r="C107" s="16" t="inlineStr">
        <is>
          <t>Add slot without patient_id rejected</t>
        </is>
      </c>
      <c r="D107" s="18" t="inlineStr">
        <is>
          <t>Medium</t>
        </is>
      </c>
      <c r="E107" s="16" t="inlineStr">
        <is>
          <t>Negative</t>
        </is>
      </c>
      <c r="F107" s="16" t="inlineStr">
        <is>
          <t>Draft schedule day.</t>
        </is>
      </c>
      <c r="G107" s="16" t="inlineStr">
        <is>
          <t>1. Force an add-slot request with no patient_id (e.g. via API or by submitting an empty modal selection)</t>
        </is>
      </c>
      <c r="H107" s="16" t="inlineStr">
        <is>
          <t>Missing patient_id</t>
        </is>
      </c>
      <c r="I107" s="16" t="inlineStr">
        <is>
          <t>Backend returns 400 'patient_id is required'; UI Add to Schedule stays disabled so the empty case is not normally reachable from the UI.</t>
        </is>
      </c>
      <c r="J107" s="16" t="inlineStr">
        <is>
          <t>POST /days/{dayId}/slots -&gt; 400</t>
        </is>
      </c>
      <c r="K107" s="11" t="inlineStr"/>
      <c r="L107" s="12" t="inlineStr">
        <is>
          <t>Not Executed</t>
        </is>
      </c>
      <c r="M107" s="12" t="inlineStr"/>
      <c r="N107" s="12" t="inlineStr"/>
      <c r="O107" s="12" t="inlineStr"/>
      <c r="P107" s="11" t="inlineStr"/>
    </row>
    <row r="108" ht="30" customHeight="1">
      <c r="A108" s="15" t="inlineStr">
        <is>
          <t>SCH-107</t>
        </is>
      </c>
      <c r="B108" s="16" t="inlineStr">
        <is>
          <t>Validation &amp; Negative</t>
        </is>
      </c>
      <c r="C108" s="16" t="inlineStr">
        <is>
          <t>Move slot without to_day_id rejected</t>
        </is>
      </c>
      <c r="D108" s="19" t="inlineStr">
        <is>
          <t>Low</t>
        </is>
      </c>
      <c r="E108" s="16" t="inlineStr">
        <is>
          <t>Negative</t>
        </is>
      </c>
      <c r="F108" s="16" t="inlineStr">
        <is>
          <t>A slot exists.</t>
        </is>
      </c>
      <c r="G108" s="16" t="inlineStr">
        <is>
          <t>1. Force a move request without to_day_id</t>
        </is>
      </c>
      <c r="H108" s="16" t="inlineStr">
        <is>
          <t>Missing to_day_id</t>
        </is>
      </c>
      <c r="I108" s="16" t="inlineStr">
        <is>
          <t>Backend returns 400 'to_day_id is required'.</t>
        </is>
      </c>
      <c r="J108" s="16" t="inlineStr">
        <is>
          <t>POST /slots/{slotId}/move -&gt; 400</t>
        </is>
      </c>
      <c r="K108" s="11" t="inlineStr"/>
      <c r="L108" s="12" t="inlineStr">
        <is>
          <t>Not Executed</t>
        </is>
      </c>
      <c r="M108" s="12" t="inlineStr"/>
      <c r="N108" s="12" t="inlineStr"/>
      <c r="O108" s="12" t="inlineStr"/>
      <c r="P108" s="11" t="inlineStr"/>
    </row>
    <row r="109" ht="45" customHeight="1">
      <c r="A109" s="15" t="inlineStr">
        <is>
          <t>SCH-108</t>
        </is>
      </c>
      <c r="B109" s="16" t="inlineStr">
        <is>
          <t>Validation &amp; Negative</t>
        </is>
      </c>
      <c r="C109" s="16" t="inlineStr">
        <is>
          <t>Create deviation without type/description rejected</t>
        </is>
      </c>
      <c r="D109" s="18" t="inlineStr">
        <is>
          <t>Medium</t>
        </is>
      </c>
      <c r="E109" s="16" t="inlineStr">
        <is>
          <t>Negative</t>
        </is>
      </c>
      <c r="F109" s="16" t="inlineStr">
        <is>
          <t>Active schedule day.</t>
        </is>
      </c>
      <c r="G109" s="16" t="inlineStr">
        <is>
          <t>1. In Report Deviation leave type or description empty and try to submit</t>
        </is>
      </c>
      <c r="H109" s="16" t="inlineStr">
        <is>
          <t>Missing deviation_type/description</t>
        </is>
      </c>
      <c r="I109" s="16" t="inlineStr">
        <is>
          <t>Submit button disabled until both set; a forced API call returns 400 'deviation_type and description are required'.</t>
        </is>
      </c>
      <c r="J109" s="16" t="inlineStr">
        <is>
          <t>POST /days/{dayId}/deviations -&gt; 400</t>
        </is>
      </c>
      <c r="K109" s="11" t="inlineStr"/>
      <c r="L109" s="12" t="inlineStr">
        <is>
          <t>Not Executed</t>
        </is>
      </c>
      <c r="M109" s="12" t="inlineStr"/>
      <c r="N109" s="12" t="inlineStr"/>
      <c r="O109" s="12" t="inlineStr"/>
      <c r="P109" s="11" t="inlineStr"/>
    </row>
    <row r="110" ht="90" customHeight="1">
      <c r="A110" s="15" t="inlineStr">
        <is>
          <t>SCH-109</t>
        </is>
      </c>
      <c r="B110" s="16" t="inlineStr">
        <is>
          <t>Validation &amp; Negative</t>
        </is>
      </c>
      <c r="C110" s="16" t="inlineStr">
        <is>
          <t>Empty/no-assignment schedule can be submitted (no hard block)</t>
        </is>
      </c>
      <c r="D110" s="18" t="inlineStr">
        <is>
          <t>Medium</t>
        </is>
      </c>
      <c r="E110" s="16" t="inlineStr">
        <is>
          <t>Edge Case</t>
        </is>
      </c>
      <c r="F110" s="16" t="inlineStr">
        <is>
          <t>A draft schedule with zero slots.</t>
        </is>
      </c>
      <c r="G110" s="16" t="inlineStr">
        <is>
          <t>1. Open the empty draft and click Submit for Approval</t>
        </is>
      </c>
      <c r="H110" s="16" t="inlineStr">
        <is>
          <t>N/A</t>
        </is>
      </c>
      <c r="I110" s="16" t="inlineStr">
        <is>
          <t>Validation likely returns warnings about empty days but the Submit action is still available; record whether the backend blocks an empty submit (400) or allows it with warnings, and flag if an empty publish should be prevented.</t>
        </is>
      </c>
      <c r="J110" s="16" t="inlineStr">
        <is>
          <t>GET /schedules/{id}/validate then POST /submit</t>
        </is>
      </c>
      <c r="K110" s="11" t="inlineStr"/>
      <c r="L110" s="12" t="inlineStr">
        <is>
          <t>Not Executed</t>
        </is>
      </c>
      <c r="M110" s="12" t="inlineStr"/>
      <c r="N110" s="12" t="inlineStr"/>
      <c r="O110" s="12" t="inlineStr"/>
      <c r="P110" s="11" t="inlineStr"/>
    </row>
    <row r="111" ht="60" customHeight="1">
      <c r="A111" s="8" t="inlineStr">
        <is>
          <t>SCH-110</t>
        </is>
      </c>
      <c r="B111" s="9" t="inlineStr">
        <is>
          <t>Data Integrity (cross-module)</t>
        </is>
      </c>
      <c r="C111" s="9" t="inlineStr">
        <is>
          <t>Approved schedule visits appear in My Visits / Active Visits</t>
        </is>
      </c>
      <c r="D111" s="10" t="inlineStr">
        <is>
          <t>High</t>
        </is>
      </c>
      <c r="E111" s="9" t="inlineStr">
        <is>
          <t>Data Integrity</t>
        </is>
      </c>
      <c r="F111" s="9" t="inlineStr">
        <is>
          <t>A draft with the test clinician assigned, then approved &amp; activated.</t>
        </is>
      </c>
      <c r="G111" s="9" t="inlineStr">
        <is>
          <t>1. Build a draft assigning the logged-in clinician to slots
2. Submit -&gt; Approve -&gt; Activate
3. Open My Visits and Active Visits</t>
        </is>
      </c>
      <c r="H111" s="9" t="inlineStr">
        <is>
          <t>N/A</t>
        </is>
      </c>
      <c r="I111" s="9" t="inlineStr">
        <is>
          <t>The same patients/days appear under My Visits (for the assigned clinician) and Active Schedule Visits; counts and patient names are consistent with the board.</t>
        </is>
      </c>
      <c r="J111" s="9" t="inlineStr">
        <is>
          <t>GET /my-schedule + GET /schedules + /schedules/{id}</t>
        </is>
      </c>
      <c r="K111" s="11" t="inlineStr"/>
      <c r="L111" s="12" t="inlineStr">
        <is>
          <t>Not Executed</t>
        </is>
      </c>
      <c r="M111" s="12" t="inlineStr"/>
      <c r="N111" s="12" t="inlineStr"/>
      <c r="O111" s="12" t="inlineStr"/>
      <c r="P111" s="11" t="inlineStr"/>
    </row>
    <row r="112" ht="60" customHeight="1">
      <c r="A112" s="8" t="inlineStr">
        <is>
          <t>SCH-111</t>
        </is>
      </c>
      <c r="B112" s="9" t="inlineStr">
        <is>
          <t>Data Integrity (cross-module)</t>
        </is>
      </c>
      <c r="C112" s="9" t="inlineStr">
        <is>
          <t>Completing a visit reflects in Deviation Report and Review metrics</t>
        </is>
      </c>
      <c r="D112" s="10" t="inlineStr">
        <is>
          <t>High</t>
        </is>
      </c>
      <c r="E112" s="9" t="inlineStr">
        <is>
          <t>Data Integrity</t>
        </is>
      </c>
      <c r="F112" s="9" t="inlineStr">
        <is>
          <t>Active schedule with slots.</t>
        </is>
      </c>
      <c r="G112" s="9" t="inlineStr">
        <is>
          <t>1. Mark some visits completed/missed in Active Visits
2. Open the Deviation Report and (after review-ready) the Review Dashboard</t>
        </is>
      </c>
      <c r="H112" s="9" t="inlineStr">
        <is>
          <t>N/A</t>
        </is>
      </c>
      <c r="I112" s="9" t="inlineStr">
        <is>
          <t>Completed/missed counts and compliance % in the Deviation Report match the actions taken; Review metrics (completion rate, missed count) are consistent.</t>
        </is>
      </c>
      <c r="J112" s="9" t="inlineStr">
        <is>
          <t>PUT /slots/{id}; GET /schedules/{id}/deviations; GET /schedules/{id}/review</t>
        </is>
      </c>
      <c r="K112" s="11" t="inlineStr"/>
      <c r="L112" s="12" t="inlineStr">
        <is>
          <t>Not Executed</t>
        </is>
      </c>
      <c r="M112" s="12" t="inlineStr"/>
      <c r="N112" s="12" t="inlineStr"/>
      <c r="O112" s="12" t="inlineStr"/>
      <c r="P112" s="11" t="inlineStr"/>
    </row>
    <row r="113" ht="75" customHeight="1">
      <c r="A113" s="8" t="inlineStr">
        <is>
          <t>SCH-112</t>
        </is>
      </c>
      <c r="B113" s="9" t="inlineStr">
        <is>
          <t>Data Integrity (cross-module)</t>
        </is>
      </c>
      <c r="C113" s="9" t="inlineStr">
        <is>
          <t>Deviations persist and surface in both Active Visits and Deviation Report</t>
        </is>
      </c>
      <c r="D113" s="13" t="inlineStr">
        <is>
          <t>Medium</t>
        </is>
      </c>
      <c r="E113" s="9" t="inlineStr">
        <is>
          <t>Data Integrity</t>
        </is>
      </c>
      <c r="F113" s="9" t="inlineStr">
        <is>
          <t>Active schedule.</t>
        </is>
      </c>
      <c r="G113" s="9" t="inlineStr">
        <is>
          <t>1. Create a deviation from Active Visits
2. Reload Active Visits and open the Deviation Report for the same schedule</t>
        </is>
      </c>
      <c r="H113" s="9" t="inlineStr">
        <is>
          <t>N/A</t>
        </is>
      </c>
      <c r="I113" s="9" t="inlineStr">
        <is>
          <t>The deviation persists and appears in the day's deviation list on Active Visits and under 'Reported Deviations' on the Deviation Report with matching type/description/reporter/time.</t>
        </is>
      </c>
      <c r="J113" s="9" t="inlineStr">
        <is>
          <t>POST /days/{dayId}/deviations; GET /schedules/{id}/deviations</t>
        </is>
      </c>
      <c r="K113" s="11" t="inlineStr"/>
      <c r="L113" s="12" t="inlineStr">
        <is>
          <t>Not Executed</t>
        </is>
      </c>
      <c r="M113" s="12" t="inlineStr"/>
      <c r="N113" s="12" t="inlineStr"/>
      <c r="O113" s="12" t="inlineStr"/>
      <c r="P113" s="11" t="inlineStr"/>
    </row>
    <row r="114" ht="60" customHeight="1">
      <c r="A114" s="8" t="inlineStr">
        <is>
          <t>SCH-113</t>
        </is>
      </c>
      <c r="B114" s="9" t="inlineStr">
        <is>
          <t>Data Integrity (cross-module)</t>
        </is>
      </c>
      <c r="C114" s="9" t="inlineStr">
        <is>
          <t>Scheduling a patient removes them from Unscheduled Alerts for that week</t>
        </is>
      </c>
      <c r="D114" s="13" t="inlineStr">
        <is>
          <t>Medium</t>
        </is>
      </c>
      <c r="E114" s="9" t="inlineStr">
        <is>
          <t>Data Integrity</t>
        </is>
      </c>
      <c r="F114" s="9" t="inlineStr">
        <is>
          <t>An overdue patient appears on the Alerts page; a schedule for that same week exists.</t>
        </is>
      </c>
      <c r="G114" s="9" t="inlineStr">
        <is>
          <t>1. Note an overdue patient on /alerts
2. Add that patient to a slot in the schedule for the same week_start
3. Reopen /alerts (and refresh)</t>
        </is>
      </c>
      <c r="H114" s="9" t="inlineStr">
        <is>
          <t>N/A</t>
        </is>
      </c>
      <c r="I114" s="9" t="inlineStr">
        <is>
          <t>Once scheduled in that week, the patient no longer appears in the unscheduled alerts list (backend excludes patients with a slot in the week).</t>
        </is>
      </c>
      <c r="J114" s="9" t="inlineStr">
        <is>
          <t>POST /days/{dayId}/slots; GET /alerts/unscheduled</t>
        </is>
      </c>
      <c r="K114" s="11" t="inlineStr"/>
      <c r="L114" s="12" t="inlineStr">
        <is>
          <t>Not Executed</t>
        </is>
      </c>
      <c r="M114" s="12" t="inlineStr"/>
      <c r="N114" s="12" t="inlineStr"/>
      <c r="O114" s="12" t="inlineStr"/>
      <c r="P114" s="11" t="inlineStr"/>
    </row>
    <row r="115" ht="60" customHeight="1">
      <c r="A115" s="15" t="inlineStr">
        <is>
          <t>SCH-114</t>
        </is>
      </c>
      <c r="B115" s="16" t="inlineStr">
        <is>
          <t>Notifications &amp; Acknowledgments</t>
        </is>
      </c>
      <c r="C115" s="16" t="inlineStr">
        <is>
          <t>Acknowledgments list reflects clinician acknowledgement</t>
        </is>
      </c>
      <c r="D115" s="18" t="inlineStr">
        <is>
          <t>Medium</t>
        </is>
      </c>
      <c r="E115" s="16" t="inlineStr">
        <is>
          <t>Data Integrity</t>
        </is>
      </c>
      <c r="F115" s="16" t="inlineStr">
        <is>
          <t>An approved schedule acknowledged by the clinician.</t>
        </is>
      </c>
      <c r="G115" s="16" t="inlineStr">
        <is>
          <t>1. Acknowledge from My Visits (SCH-070)
2. View acknowledgments for that schedule (via API / any UI surface that calls it)</t>
        </is>
      </c>
      <c r="H115" s="16" t="inlineStr">
        <is>
          <t>N/A</t>
        </is>
      </c>
      <c r="I115" s="16" t="inlineStr">
        <is>
          <t>The acknowledgments endpoint returns the acknowledging user for that schedule; acknowledged state is consistent with My Visits banner being hidden.</t>
        </is>
      </c>
      <c r="J115" s="16" t="inlineStr">
        <is>
          <t>POST /schedules/{id}/acknowledge; GET /schedules/{id}/acknowledgments</t>
        </is>
      </c>
      <c r="K115" s="11" t="inlineStr"/>
      <c r="L115" s="12" t="inlineStr">
        <is>
          <t>Not Executed</t>
        </is>
      </c>
      <c r="M115" s="12" t="inlineStr"/>
      <c r="N115" s="12" t="inlineStr"/>
      <c r="O115" s="12" t="inlineStr"/>
      <c r="P115" s="11" t="inlineStr"/>
    </row>
    <row r="116" ht="75" customHeight="1">
      <c r="A116" s="8" t="inlineStr">
        <is>
          <t>SCH-115</t>
        </is>
      </c>
      <c r="B116" s="9" t="inlineStr">
        <is>
          <t>Patient Pool</t>
        </is>
      </c>
      <c r="C116" s="9" t="inlineStr">
        <is>
          <t>Recalculate priorities runs on board load (background)</t>
        </is>
      </c>
      <c r="D116" s="14" t="inlineStr">
        <is>
          <t>Low</t>
        </is>
      </c>
      <c r="E116" s="9" t="inlineStr">
        <is>
          <t>Functional</t>
        </is>
      </c>
      <c r="F116" s="9" t="inlineStr">
        <is>
          <t>Open the board.</t>
        </is>
      </c>
      <c r="G116" s="9" t="inlineStr">
        <is>
          <t>1. Open a draft board and inspect network calls</t>
        </is>
      </c>
      <c r="H116" s="9" t="inlineStr">
        <is>
          <t>N/A</t>
        </is>
      </c>
      <c r="I116" s="9" t="inlineStr">
        <is>
          <t>A fire-and-forget POST recalculate-priorities is issued on load; priority scores shown on sidebar cards reflect (possibly next-refresh) recalculated values without blocking the UI.</t>
        </is>
      </c>
      <c r="J116" s="9" t="inlineStr">
        <is>
          <t>POST /api/saranam/scheduling/patient-pool/recalculate-priorities</t>
        </is>
      </c>
      <c r="K116" s="11" t="inlineStr"/>
      <c r="L116" s="12" t="inlineStr">
        <is>
          <t>Not Executed</t>
        </is>
      </c>
      <c r="M116" s="12" t="inlineStr"/>
      <c r="N116" s="12" t="inlineStr"/>
      <c r="O116" s="12" t="inlineStr"/>
      <c r="P116" s="11" t="inlineStr"/>
    </row>
    <row r="117" ht="60" customHeight="1">
      <c r="A117" s="8" t="inlineStr">
        <is>
          <t>SCH-116</t>
        </is>
      </c>
      <c r="B117" s="9" t="inlineStr">
        <is>
          <t>Patient Pool</t>
        </is>
      </c>
      <c r="C117" s="9" t="inlineStr">
        <is>
          <t>Add Patient modal lazy-loads the full patient list</t>
        </is>
      </c>
      <c r="D117" s="14" t="inlineStr">
        <is>
          <t>Low</t>
        </is>
      </c>
      <c r="E117" s="9" t="inlineStr">
        <is>
          <t>Functional</t>
        </is>
      </c>
      <c r="F117" s="9" t="inlineStr">
        <is>
          <t>Draft board.</t>
        </is>
      </c>
      <c r="G117" s="9" t="inlineStr">
        <is>
          <t>1. Open the Add Patient modal for the first time and inspect network</t>
        </is>
      </c>
      <c r="H117" s="9" t="inlineStr">
        <is>
          <t>N/A</t>
        </is>
      </c>
      <c r="I117" s="9" t="inlineStr">
        <is>
          <t>The full patient search (up to 500) is fetched only when the modal first opens; the modal initially falls back to the already-loaded pool and is searchable.</t>
        </is>
      </c>
      <c r="J117" s="9" t="inlineStr">
        <is>
          <t>patientsApi.search('',1,500)</t>
        </is>
      </c>
      <c r="K117" s="11" t="inlineStr"/>
      <c r="L117" s="12" t="inlineStr">
        <is>
          <t>Not Executed</t>
        </is>
      </c>
      <c r="M117" s="12" t="inlineStr"/>
      <c r="N117" s="12" t="inlineStr"/>
      <c r="O117" s="12" t="inlineStr"/>
      <c r="P117" s="11" t="inlineStr"/>
    </row>
    <row r="118" ht="60" customHeight="1">
      <c r="A118" s="15" t="inlineStr">
        <is>
          <t>SCH-117</t>
        </is>
      </c>
      <c r="B118" s="16" t="inlineStr">
        <is>
          <t>Regression / Stability</t>
        </is>
      </c>
      <c r="C118" s="16" t="inlineStr">
        <is>
          <t>Rapid repeated actions do not corrupt schedule state</t>
        </is>
      </c>
      <c r="D118" s="18" t="inlineStr">
        <is>
          <t>Medium</t>
        </is>
      </c>
      <c r="E118" s="16" t="inlineStr">
        <is>
          <t>Edge Case</t>
        </is>
      </c>
      <c r="F118" s="16" t="inlineStr">
        <is>
          <t>Draft board with slots.</t>
        </is>
      </c>
      <c r="G118" s="16" t="inlineStr">
        <is>
          <t>1. Quickly add, move, reorder and remove slots in succession
2. Observe the saving bar and final reloaded state</t>
        </is>
      </c>
      <c r="H118" s="16" t="inlineStr">
        <is>
          <t>N/A</t>
        </is>
      </c>
      <c r="I118" s="16" t="inlineStr">
        <is>
          <t>Each action serialises through the saving indicator and a reload; the final board state matches the last successful action with no duplicated/ghost slots.</t>
        </is>
      </c>
      <c r="J118" s="16" t="inlineStr">
        <is>
          <t>POST /slots; POST /slots/{id}/move; POST /days/{id}/reorder; DELETE /slots/{id}</t>
        </is>
      </c>
      <c r="K118" s="11" t="inlineStr"/>
      <c r="L118" s="12" t="inlineStr">
        <is>
          <t>Not Executed</t>
        </is>
      </c>
      <c r="M118" s="12" t="inlineStr"/>
      <c r="N118" s="12" t="inlineStr"/>
      <c r="O118" s="12" t="inlineStr"/>
      <c r="P118" s="11" t="inlineStr"/>
    </row>
    <row r="119" ht="60" customHeight="1">
      <c r="A119" s="15" t="inlineStr">
        <is>
          <t>SCH-118</t>
        </is>
      </c>
      <c r="B119" s="16" t="inlineStr">
        <is>
          <t>Regression / Stability</t>
        </is>
      </c>
      <c r="C119" s="16" t="inlineStr">
        <is>
          <t>Browser back/forward between scheduling screens preserves data</t>
        </is>
      </c>
      <c r="D119" s="19" t="inlineStr">
        <is>
          <t>Low</t>
        </is>
      </c>
      <c r="E119" s="16" t="inlineStr">
        <is>
          <t>UI/UX</t>
        </is>
      </c>
      <c r="F119" s="16" t="inlineStr">
        <is>
          <t>Logged in.</t>
        </is>
      </c>
      <c r="G119" s="16" t="inlineStr">
        <is>
          <t>1. Calendar -&gt; open a board -&gt; browser Back -&gt; Active Visits -&gt; Back</t>
        </is>
      </c>
      <c r="H119" s="16" t="inlineStr">
        <is>
          <t>N/A</t>
        </is>
      </c>
      <c r="I119" s="16" t="inlineStr">
        <is>
          <t>Each screen reloads its own data cleanly on navigation; no stale data leaks between schedules; tab selection on the calendar is preserved per the URL/state.</t>
        </is>
      </c>
      <c r="J119" s="16" t="inlineStr">
        <is>
          <t>N/A</t>
        </is>
      </c>
      <c r="K119" s="11" t="inlineStr"/>
      <c r="L119" s="12" t="inlineStr">
        <is>
          <t>Not Executed</t>
        </is>
      </c>
      <c r="M119" s="12" t="inlineStr"/>
      <c r="N119" s="12" t="inlineStr"/>
      <c r="O119" s="12" t="inlineStr"/>
      <c r="P119" s="11" t="inlineStr"/>
    </row>
  </sheetData>
  <autoFilter ref="A1:P119"/>
  <conditionalFormatting sqref="L2:L1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dataValidations count="2">
    <dataValidation sqref="L2:L119" showDropDown="0" showInputMessage="0" showErrorMessage="0" allowBlank="1" type="list">
      <formula1>"Not Executed,Pass,Fail,Blocked,N/A"</formula1>
    </dataValidation>
    <dataValidation sqref="M2:M11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2026-06-01T12:52:17Z</dcterms:created>
  <dcterms:modified xmlns:dcterms="http://purl.org/dc/terms/" xmlns:xsi="http://www.w3.org/2001/XMLSchema-instance" xsi:type="dcterms:W3CDTF">2026-06-01T12:52:17Z</dcterms:modified>
</cp:coreProperties>
</file>