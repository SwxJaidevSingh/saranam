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Patient Management" sheetId="2" state="visible" r:id="rId2"/>
    <sheet xmlns:r="http://schemas.openxmlformats.org/officeDocument/2006/relationships" name="Scheduling" sheetId="3" state="visible" r:id="rId3"/>
    <sheet xmlns:r="http://schemas.openxmlformats.org/officeDocument/2006/relationships" name="Providers" sheetId="4" state="visible" r:id="rId4"/>
    <sheet xmlns:r="http://schemas.openxmlformats.org/officeDocument/2006/relationships" name="Inventory" sheetId="5" state="visible" r:id="rId5"/>
    <sheet xmlns:r="http://schemas.openxmlformats.org/officeDocument/2006/relationships" name="Analytics" sheetId="6" state="visible" r:id="rId6"/>
    <sheet xmlns:r="http://schemas.openxmlformats.org/officeDocument/2006/relationships" name="Call Logs" sheetId="7" state="visible" r:id="rId7"/>
    <sheet xmlns:r="http://schemas.openxmlformats.org/officeDocument/2006/relationships" name="Users" sheetId="8" state="visible" r:id="rId8"/>
    <sheet xmlns:r="http://schemas.openxmlformats.org/officeDocument/2006/relationships" name="Settings" sheetId="9" state="visible" r:id="rId9"/>
  </sheets>
  <definedNames>
    <definedName name="_xlnm._FilterDatabase" localSheetId="1" hidden="1">'Patient Management'!$A$1:$P$146</definedName>
    <definedName name="_xlnm._FilterDatabase" localSheetId="2" hidden="1">'Scheduling'!$A$1:$P$119</definedName>
    <definedName name="_xlnm._FilterDatabase" localSheetId="3" hidden="1">'Providers'!$A$1:$P$78</definedName>
    <definedName name="_xlnm._FilterDatabase" localSheetId="4" hidden="1">'Inventory'!$A$1:$P$121</definedName>
    <definedName name="_xlnm._FilterDatabase" localSheetId="5" hidden="1">'Analytics'!$A$1:$P$58</definedName>
    <definedName name="_xlnm._FilterDatabase" localSheetId="6" hidden="1">'Call Logs'!$A$1:$P$85</definedName>
    <definedName name="_xlnm._FilterDatabase" localSheetId="7" hidden="1">'Users'!$A$1:$P$53</definedName>
    <definedName name="_xlnm._FilterDatabase" localSheetId="8" hidden="1">'Settings'!$A$1:$P$34</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6"/>
    </font>
    <font>
      <i val="1"/>
      <color rgb="00595959"/>
      <sz val="10"/>
    </font>
    <font>
      <b val="1"/>
      <color rgb="00FFFFFF"/>
      <sz val="10"/>
    </font>
    <font>
      <sz val="10"/>
    </font>
    <font>
      <b val="1"/>
      <sz val="10"/>
    </font>
    <font>
      <b val="1"/>
    </font>
    <font>
      <sz val="9"/>
    </font>
    <font>
      <b val="1"/>
      <sz val="9"/>
    </font>
    <font>
      <b val="1"/>
      <color rgb="009C0006"/>
      <sz val="9"/>
    </font>
    <font>
      <b val="1"/>
      <color rgb="009C6500"/>
      <sz val="9"/>
    </font>
    <font>
      <b val="1"/>
      <color rgb="00375623"/>
      <sz val="9"/>
    </font>
  </fonts>
  <fills count="5">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164" fontId="4" fillId="0" borderId="1" applyAlignment="1" pivotButton="0" quotePrefix="0" xfId="0">
      <alignment horizontal="center" vertical="center"/>
    </xf>
    <xf numFmtId="0" fontId="0" fillId="0" borderId="1" pivotButton="0" quotePrefix="0" xfId="0"/>
    <xf numFmtId="0" fontId="5" fillId="0" borderId="1" pivotButton="0" quotePrefix="0" xfId="0"/>
    <xf numFmtId="0" fontId="5" fillId="0" borderId="1" applyAlignment="1" pivotButton="0" quotePrefix="0" xfId="0">
      <alignment horizontal="center"/>
    </xf>
    <xf numFmtId="164" fontId="6" fillId="0" borderId="1" applyAlignment="1" pivotButton="0" quotePrefix="0" xfId="0">
      <alignment horizontal="center"/>
    </xf>
    <xf numFmtId="0" fontId="8" fillId="3" borderId="1" applyAlignment="1" pivotButton="0" quotePrefix="0" xfId="0">
      <alignment horizontal="center" vertical="top"/>
    </xf>
    <xf numFmtId="0" fontId="7" fillId="3" borderId="1" applyAlignment="1" pivotButton="0" quotePrefix="0" xfId="0">
      <alignment horizontal="left" vertical="top" wrapText="1"/>
    </xf>
    <xf numFmtId="0" fontId="9" fillId="3" borderId="1" applyAlignment="1" pivotButton="0" quotePrefix="0" xfId="0">
      <alignment horizontal="center" vertical="top"/>
    </xf>
    <xf numFmtId="0" fontId="7" fillId="4" borderId="1" applyAlignment="1" pivotButton="0" quotePrefix="0" xfId="0">
      <alignment horizontal="left" vertical="top" wrapText="1"/>
    </xf>
    <xf numFmtId="0" fontId="7" fillId="4" borderId="1" applyAlignment="1" pivotButton="0" quotePrefix="0" xfId="0">
      <alignment horizontal="center" vertical="top"/>
    </xf>
    <xf numFmtId="0" fontId="8" fillId="0" borderId="1" applyAlignment="1" pivotButton="0" quotePrefix="0" xfId="0">
      <alignment horizontal="center" vertical="top"/>
    </xf>
    <xf numFmtId="0" fontId="7" fillId="0" borderId="1" applyAlignment="1" pivotButton="0" quotePrefix="0" xfId="0">
      <alignment horizontal="left" vertical="top" wrapText="1"/>
    </xf>
    <xf numFmtId="0" fontId="10" fillId="0" borderId="1" applyAlignment="1" pivotButton="0" quotePrefix="0" xfId="0">
      <alignment horizontal="center" vertical="top"/>
    </xf>
    <xf numFmtId="0" fontId="10" fillId="3" borderId="1" applyAlignment="1" pivotButton="0" quotePrefix="0" xfId="0">
      <alignment horizontal="center" vertical="top"/>
    </xf>
    <xf numFmtId="0" fontId="11" fillId="3" borderId="1" applyAlignment="1" pivotButton="0" quotePrefix="0" xfId="0">
      <alignment horizontal="center" vertical="top"/>
    </xf>
    <xf numFmtId="0" fontId="9" fillId="0" borderId="1" applyAlignment="1" pivotButton="0" quotePrefix="0" xfId="0">
      <alignment horizontal="center" vertical="top"/>
    </xf>
    <xf numFmtId="0" fontId="11" fillId="0"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9" customWidth="1" min="4" max="4"/>
    <col width="9" customWidth="1" min="5" max="5"/>
    <col width="9" customWidth="1" min="6" max="6"/>
    <col width="10" customWidth="1" min="7" max="7"/>
    <col width="14" customWidth="1" min="8" max="8"/>
    <col width="12" customWidth="1" min="9" max="9"/>
    <col width="11" customWidth="1" min="10" max="10"/>
  </cols>
  <sheetData>
    <row r="1" ht="30" customHeight="1">
      <c r="A1" s="1" t="inlineStr">
        <is>
          <t>Saranam India Health Care — Master Manual Test Plan</t>
        </is>
      </c>
    </row>
    <row r="2">
      <c r="A2" s="2" t="inlineStr">
        <is>
          <t>Manual test execution tracker • Fill Status on each module sheet • figures below update automatically</t>
        </is>
      </c>
    </row>
    <row r="4">
      <c r="A4" s="3" t="inlineStr">
        <is>
          <t>#</t>
        </is>
      </c>
      <c r="B4" s="3" t="inlineStr">
        <is>
          <t>Module</t>
        </is>
      </c>
      <c r="C4" s="3" t="inlineStr">
        <is>
          <t>Sheet</t>
        </is>
      </c>
      <c r="D4" s="3" t="inlineStr">
        <is>
          <t>Total</t>
        </is>
      </c>
      <c r="E4" s="3" t="inlineStr">
        <is>
          <t>Pass</t>
        </is>
      </c>
      <c r="F4" s="3" t="inlineStr">
        <is>
          <t>Fail</t>
        </is>
      </c>
      <c r="G4" s="3" t="inlineStr">
        <is>
          <t>Blocked</t>
        </is>
      </c>
      <c r="H4" s="3" t="inlineStr">
        <is>
          <t>Not Executed</t>
        </is>
      </c>
      <c r="I4" s="3" t="inlineStr">
        <is>
          <t>% Executed</t>
        </is>
      </c>
      <c r="J4" s="3" t="inlineStr">
        <is>
          <t>% Pass</t>
        </is>
      </c>
    </row>
    <row r="5">
      <c r="A5" s="4" t="n">
        <v>1</v>
      </c>
      <c r="B5" s="5" t="inlineStr">
        <is>
          <t>Patient Management</t>
        </is>
      </c>
      <c r="C5" s="4" t="inlineStr">
        <is>
          <t>Patient Management</t>
        </is>
      </c>
      <c r="D5" s="4">
        <f>COUNTA('Patient Management'!A2:A146)</f>
        <v/>
      </c>
      <c r="E5" s="4">
        <f>COUNTIF('Patient Management'!L2:L146,"Pass")</f>
        <v/>
      </c>
      <c r="F5" s="4">
        <f>COUNTIF('Patient Management'!L2:L146,"Fail")</f>
        <v/>
      </c>
      <c r="G5" s="4">
        <f>COUNTIF('Patient Management'!L2:L146,"Blocked")</f>
        <v/>
      </c>
      <c r="H5" s="4">
        <f>COUNTIF('Patient Management'!L2:L146,"Not Executed")</f>
        <v/>
      </c>
      <c r="I5" s="6">
        <f>IFERROR((D5-H5)/D5,0)</f>
        <v/>
      </c>
      <c r="J5" s="6">
        <f>IFERROR(E5/(D5-H5),0)</f>
        <v/>
      </c>
    </row>
    <row r="6">
      <c r="A6" s="4" t="n">
        <v>2</v>
      </c>
      <c r="B6" s="5" t="inlineStr">
        <is>
          <t>Scheduling</t>
        </is>
      </c>
      <c r="C6" s="4" t="inlineStr">
        <is>
          <t>Scheduling</t>
        </is>
      </c>
      <c r="D6" s="4">
        <f>COUNTA('Scheduling'!A2:A119)</f>
        <v/>
      </c>
      <c r="E6" s="4">
        <f>COUNTIF('Scheduling'!L2:L119,"Pass")</f>
        <v/>
      </c>
      <c r="F6" s="4">
        <f>COUNTIF('Scheduling'!L2:L119,"Fail")</f>
        <v/>
      </c>
      <c r="G6" s="4">
        <f>COUNTIF('Scheduling'!L2:L119,"Blocked")</f>
        <v/>
      </c>
      <c r="H6" s="4">
        <f>COUNTIF('Scheduling'!L2:L119,"Not Executed")</f>
        <v/>
      </c>
      <c r="I6" s="6">
        <f>IFERROR((D6-H6)/D6,0)</f>
        <v/>
      </c>
      <c r="J6" s="6">
        <f>IFERROR(E6/(D6-H6),0)</f>
        <v/>
      </c>
    </row>
    <row r="7">
      <c r="A7" s="4" t="n">
        <v>3</v>
      </c>
      <c r="B7" s="5" t="inlineStr">
        <is>
          <t>Providers</t>
        </is>
      </c>
      <c r="C7" s="4" t="inlineStr">
        <is>
          <t>Providers</t>
        </is>
      </c>
      <c r="D7" s="4">
        <f>COUNTA('Providers'!A2:A78)</f>
        <v/>
      </c>
      <c r="E7" s="4">
        <f>COUNTIF('Providers'!L2:L78,"Pass")</f>
        <v/>
      </c>
      <c r="F7" s="4">
        <f>COUNTIF('Providers'!L2:L78,"Fail")</f>
        <v/>
      </c>
      <c r="G7" s="4">
        <f>COUNTIF('Providers'!L2:L78,"Blocked")</f>
        <v/>
      </c>
      <c r="H7" s="4">
        <f>COUNTIF('Providers'!L2:L78,"Not Executed")</f>
        <v/>
      </c>
      <c r="I7" s="6">
        <f>IFERROR((D7-H7)/D7,0)</f>
        <v/>
      </c>
      <c r="J7" s="6">
        <f>IFERROR(E7/(D7-H7),0)</f>
        <v/>
      </c>
    </row>
    <row r="8">
      <c r="A8" s="4" t="n">
        <v>4</v>
      </c>
      <c r="B8" s="5" t="inlineStr">
        <is>
          <t>Inventory</t>
        </is>
      </c>
      <c r="C8" s="4" t="inlineStr">
        <is>
          <t>Inventory</t>
        </is>
      </c>
      <c r="D8" s="4">
        <f>COUNTA('Inventory'!A2:A121)</f>
        <v/>
      </c>
      <c r="E8" s="4">
        <f>COUNTIF('Inventory'!L2:L121,"Pass")</f>
        <v/>
      </c>
      <c r="F8" s="4">
        <f>COUNTIF('Inventory'!L2:L121,"Fail")</f>
        <v/>
      </c>
      <c r="G8" s="4">
        <f>COUNTIF('Inventory'!L2:L121,"Blocked")</f>
        <v/>
      </c>
      <c r="H8" s="4">
        <f>COUNTIF('Inventory'!L2:L121,"Not Executed")</f>
        <v/>
      </c>
      <c r="I8" s="6">
        <f>IFERROR((D8-H8)/D8,0)</f>
        <v/>
      </c>
      <c r="J8" s="6">
        <f>IFERROR(E8/(D8-H8),0)</f>
        <v/>
      </c>
    </row>
    <row r="9">
      <c r="A9" s="4" t="n">
        <v>5</v>
      </c>
      <c r="B9" s="5" t="inlineStr">
        <is>
          <t>Analytics</t>
        </is>
      </c>
      <c r="C9" s="4" t="inlineStr">
        <is>
          <t>Analytics</t>
        </is>
      </c>
      <c r="D9" s="4">
        <f>COUNTA('Analytics'!A2:A58)</f>
        <v/>
      </c>
      <c r="E9" s="4">
        <f>COUNTIF('Analytics'!L2:L58,"Pass")</f>
        <v/>
      </c>
      <c r="F9" s="4">
        <f>COUNTIF('Analytics'!L2:L58,"Fail")</f>
        <v/>
      </c>
      <c r="G9" s="4">
        <f>COUNTIF('Analytics'!L2:L58,"Blocked")</f>
        <v/>
      </c>
      <c r="H9" s="4">
        <f>COUNTIF('Analytics'!L2:L58,"Not Executed")</f>
        <v/>
      </c>
      <c r="I9" s="6">
        <f>IFERROR((D9-H9)/D9,0)</f>
        <v/>
      </c>
      <c r="J9" s="6">
        <f>IFERROR(E9/(D9-H9),0)</f>
        <v/>
      </c>
    </row>
    <row r="10">
      <c r="A10" s="4" t="n">
        <v>6</v>
      </c>
      <c r="B10" s="5" t="inlineStr">
        <is>
          <t>Call Logs</t>
        </is>
      </c>
      <c r="C10" s="4" t="inlineStr">
        <is>
          <t>Call Logs</t>
        </is>
      </c>
      <c r="D10" s="4">
        <f>COUNTA('Call Logs'!A2:A85)</f>
        <v/>
      </c>
      <c r="E10" s="4">
        <f>COUNTIF('Call Logs'!L2:L85,"Pass")</f>
        <v/>
      </c>
      <c r="F10" s="4">
        <f>COUNTIF('Call Logs'!L2:L85,"Fail")</f>
        <v/>
      </c>
      <c r="G10" s="4">
        <f>COUNTIF('Call Logs'!L2:L85,"Blocked")</f>
        <v/>
      </c>
      <c r="H10" s="4">
        <f>COUNTIF('Call Logs'!L2:L85,"Not Executed")</f>
        <v/>
      </c>
      <c r="I10" s="6">
        <f>IFERROR((D10-H10)/D10,0)</f>
        <v/>
      </c>
      <c r="J10" s="6">
        <f>IFERROR(E10/(D10-H10),0)</f>
        <v/>
      </c>
    </row>
    <row r="11">
      <c r="A11" s="4" t="n">
        <v>7</v>
      </c>
      <c r="B11" s="5" t="inlineStr">
        <is>
          <t>Users</t>
        </is>
      </c>
      <c r="C11" s="4" t="inlineStr">
        <is>
          <t>Users</t>
        </is>
      </c>
      <c r="D11" s="4">
        <f>COUNTA('Users'!A2:A53)</f>
        <v/>
      </c>
      <c r="E11" s="4">
        <f>COUNTIF('Users'!L2:L53,"Pass")</f>
        <v/>
      </c>
      <c r="F11" s="4">
        <f>COUNTIF('Users'!L2:L53,"Fail")</f>
        <v/>
      </c>
      <c r="G11" s="4">
        <f>COUNTIF('Users'!L2:L53,"Blocked")</f>
        <v/>
      </c>
      <c r="H11" s="4">
        <f>COUNTIF('Users'!L2:L53,"Not Executed")</f>
        <v/>
      </c>
      <c r="I11" s="6">
        <f>IFERROR((D11-H11)/D11,0)</f>
        <v/>
      </c>
      <c r="J11" s="6">
        <f>IFERROR(E11/(D11-H11),0)</f>
        <v/>
      </c>
    </row>
    <row r="12">
      <c r="A12" s="4" t="n">
        <v>8</v>
      </c>
      <c r="B12" s="5" t="inlineStr">
        <is>
          <t>Settings</t>
        </is>
      </c>
      <c r="C12" s="4" t="inlineStr">
        <is>
          <t>Settings</t>
        </is>
      </c>
      <c r="D12" s="4">
        <f>COUNTA('Settings'!A2:A34)</f>
        <v/>
      </c>
      <c r="E12" s="4">
        <f>COUNTIF('Settings'!L2:L34,"Pass")</f>
        <v/>
      </c>
      <c r="F12" s="4">
        <f>COUNTIF('Settings'!L2:L34,"Fail")</f>
        <v/>
      </c>
      <c r="G12" s="4">
        <f>COUNTIF('Settings'!L2:L34,"Blocked")</f>
        <v/>
      </c>
      <c r="H12" s="4">
        <f>COUNTIF('Settings'!L2:L34,"Not Executed")</f>
        <v/>
      </c>
      <c r="I12" s="6">
        <f>IFERROR((D12-H12)/D12,0)</f>
        <v/>
      </c>
      <c r="J12" s="6">
        <f>IFERROR(E12/(D12-H12),0)</f>
        <v/>
      </c>
    </row>
    <row r="13">
      <c r="A13" s="7" t="n"/>
      <c r="B13" s="8" t="inlineStr">
        <is>
          <t>TOTAL</t>
        </is>
      </c>
      <c r="C13" s="7" t="n"/>
      <c r="D13" s="9">
        <f>SUM(D5:D12)</f>
        <v/>
      </c>
      <c r="E13" s="9">
        <f>SUM(E5:E12)</f>
        <v/>
      </c>
      <c r="F13" s="9">
        <f>SUM(F5:F12)</f>
        <v/>
      </c>
      <c r="G13" s="9">
        <f>SUM(G5:G12)</f>
        <v/>
      </c>
      <c r="H13" s="9">
        <f>SUM(H5:H12)</f>
        <v/>
      </c>
      <c r="I13" s="10">
        <f>IFERROR((D13-H13)/D13,0)</f>
        <v/>
      </c>
      <c r="J13" s="10">
        <f>IFERROR(E13/(D13-H13),0)</f>
        <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75" customHeight="1">
      <c r="A2" s="11" t="inlineStr">
        <is>
          <t>PAT-001</t>
        </is>
      </c>
      <c r="B2" s="12" t="inlineStr">
        <is>
          <t>Patients List - Page Load</t>
        </is>
      </c>
      <c r="C2" s="12" t="inlineStr">
        <is>
          <t>Patients list loads with default state (page 1, grid view, 20 per page)</t>
        </is>
      </c>
      <c r="D2" s="13" t="inlineStr">
        <is>
          <t>High</t>
        </is>
      </c>
      <c r="E2" s="12" t="inlineStr">
        <is>
          <t>Functional</t>
        </is>
      </c>
      <c r="F2" s="12" t="inlineStr">
        <is>
          <t>Logged in; &gt;20 patients exist.</t>
        </is>
      </c>
      <c r="G2" s="12" t="inlineStr">
        <is>
          <t>1. Navigate to https://saranam.fieldintel.ai/patients
2. Observe the page header, view toggle, search bar, filter chips and results</t>
        </is>
      </c>
      <c r="H2" s="12" t="inlineStr">
        <is>
          <t>N/A</t>
        </is>
      </c>
      <c r="I2" s="12" t="inlineStr">
        <is>
          <t>Page title 'Patients' with subtitle shows. Grid view is active by default. A 'Found N patients' count matches total. First 20 patient cards render. GET /api/patients?page=1&amp;per_page=20 fires and returns 200.</t>
        </is>
      </c>
      <c r="J2" s="12" t="inlineStr">
        <is>
          <t>GET /api/patients</t>
        </is>
      </c>
      <c r="K2" s="14" t="inlineStr"/>
      <c r="L2" s="15" t="inlineStr">
        <is>
          <t>Not Executed</t>
        </is>
      </c>
      <c r="M2" s="15" t="inlineStr"/>
      <c r="N2" s="15" t="inlineStr"/>
      <c r="O2" s="15" t="inlineStr"/>
      <c r="P2" s="14" t="inlineStr"/>
    </row>
    <row r="3" ht="75" customHeight="1">
      <c r="A3" s="16" t="inlineStr">
        <is>
          <t>PAT-002</t>
        </is>
      </c>
      <c r="B3" s="17" t="inlineStr">
        <is>
          <t>Patients List - Loading State</t>
        </is>
      </c>
      <c r="C3" s="17" t="inlineStr">
        <is>
          <t>Loading spinner shows while patients are being fetched</t>
        </is>
      </c>
      <c r="D3" s="18" t="inlineStr">
        <is>
          <t>Medium</t>
        </is>
      </c>
      <c r="E3" s="17" t="inlineStr">
        <is>
          <t>UI/UX</t>
        </is>
      </c>
      <c r="F3" s="17" t="inlineStr">
        <is>
          <t>Logged in; throttle network (DevTools Slow 3G).</t>
        </is>
      </c>
      <c r="G3" s="17" t="inlineStr">
        <is>
          <t>1. Open /patients with network throttled
2. Observe the area while the request is in flight</t>
        </is>
      </c>
      <c r="H3" s="17" t="inlineStr">
        <is>
          <t>N/A</t>
        </is>
      </c>
      <c r="I3" s="17" t="inlineStr">
        <is>
          <t>A centered spinner with 'Fetching patient records...' is shown until data arrives, then it is replaced by cards. Results count shows 'Updating results...' during refresh.</t>
        </is>
      </c>
      <c r="J3" s="17" t="inlineStr">
        <is>
          <t>GET /api/patients</t>
        </is>
      </c>
      <c r="K3" s="14" t="inlineStr"/>
      <c r="L3" s="15" t="inlineStr">
        <is>
          <t>Not Executed</t>
        </is>
      </c>
      <c r="M3" s="15" t="inlineStr"/>
      <c r="N3" s="15" t="inlineStr"/>
      <c r="O3" s="15" t="inlineStr"/>
      <c r="P3" s="14" t="inlineStr"/>
    </row>
    <row r="4" ht="60" customHeight="1">
      <c r="A4" s="11" t="inlineStr">
        <is>
          <t>PAT-003</t>
        </is>
      </c>
      <c r="B4" s="12" t="inlineStr">
        <is>
          <t>Patients List - Search</t>
        </is>
      </c>
      <c r="C4" s="12" t="inlineStr">
        <is>
          <t>Search by patient name returns matching patients</t>
        </is>
      </c>
      <c r="D4" s="13" t="inlineStr">
        <is>
          <t>High</t>
        </is>
      </c>
      <c r="E4" s="12" t="inlineStr">
        <is>
          <t>Functional</t>
        </is>
      </c>
      <c r="F4" s="12" t="inlineStr">
        <is>
          <t>A patient named 'Ramesh Kumar' exists.</t>
        </is>
      </c>
      <c r="G4" s="12" t="inlineStr">
        <is>
          <t>1. Type 'Ramesh' in the search box
2. Click the Search button (or press Enter)</t>
        </is>
      </c>
      <c r="H4" s="12" t="inlineStr">
        <is>
          <t>Ramesh</t>
        </is>
      </c>
      <c r="I4" s="12" t="inlineStr">
        <is>
          <t>Page resets to 1 and GET /api/patients?q=Ramesh&amp;page=1&amp;per_page=20 fires. Only patients matching 'Ramesh' are listed and count updates accordingly.</t>
        </is>
      </c>
      <c r="J4" s="12" t="inlineStr">
        <is>
          <t>GET /api/patients</t>
        </is>
      </c>
      <c r="K4" s="14" t="inlineStr"/>
      <c r="L4" s="15" t="inlineStr">
        <is>
          <t>Not Executed</t>
        </is>
      </c>
      <c r="M4" s="15" t="inlineStr"/>
      <c r="N4" s="15" t="inlineStr"/>
      <c r="O4" s="15" t="inlineStr"/>
      <c r="P4" s="14" t="inlineStr"/>
    </row>
    <row r="5" ht="60" customHeight="1">
      <c r="A5" s="11" t="inlineStr">
        <is>
          <t>PAT-004</t>
        </is>
      </c>
      <c r="B5" s="12" t="inlineStr">
        <is>
          <t>Patients List - Search</t>
        </is>
      </c>
      <c r="C5" s="12" t="inlineStr">
        <is>
          <t>Search by UHID / phone / ABHA returns the patient</t>
        </is>
      </c>
      <c r="D5" s="13" t="inlineStr">
        <is>
          <t>High</t>
        </is>
      </c>
      <c r="E5" s="12" t="inlineStr">
        <is>
          <t>Functional</t>
        </is>
      </c>
      <c r="F5" s="12" t="inlineStr">
        <is>
          <t>Patient with known UHID and phone 9876543210 exists.</t>
        </is>
      </c>
      <c r="G5" s="12" t="inlineStr">
        <is>
          <t>1. Search by full UHID
2. Clear and search by 9876543210
3. Clear and search by ABHA id/address</t>
        </is>
      </c>
      <c r="H5" s="12" t="inlineStr">
        <is>
          <t>UHID value; 9876543210; ramesh.kumar@abdm</t>
        </is>
      </c>
      <c r="I5" s="12" t="inlineStr">
        <is>
          <t>Each search returns the correct patient (q param passed to backend). The placeholder confirms search supports name, UHID, phone, ABHA ID.</t>
        </is>
      </c>
      <c r="J5" s="12" t="inlineStr">
        <is>
          <t>GET /api/patients</t>
        </is>
      </c>
      <c r="K5" s="14" t="inlineStr"/>
      <c r="L5" s="15" t="inlineStr">
        <is>
          <t>Not Executed</t>
        </is>
      </c>
      <c r="M5" s="15" t="inlineStr"/>
      <c r="N5" s="15" t="inlineStr"/>
      <c r="O5" s="15" t="inlineStr"/>
      <c r="P5" s="14" t="inlineStr"/>
    </row>
    <row r="6" ht="60" customHeight="1">
      <c r="A6" s="11" t="inlineStr">
        <is>
          <t>PAT-005</t>
        </is>
      </c>
      <c r="B6" s="12" t="inlineStr">
        <is>
          <t>Patients List - Search</t>
        </is>
      </c>
      <c r="C6" s="12" t="inlineStr">
        <is>
          <t>Search with no matches shows 'No Results Found' empty state</t>
        </is>
      </c>
      <c r="D6" s="19" t="inlineStr">
        <is>
          <t>Medium</t>
        </is>
      </c>
      <c r="E6" s="12" t="inlineStr">
        <is>
          <t>Edge Case</t>
        </is>
      </c>
      <c r="F6" s="12" t="inlineStr">
        <is>
          <t>Logged in.</t>
        </is>
      </c>
      <c r="G6" s="12" t="inlineStr">
        <is>
          <t>1. Search for a string that matches no patient e.g. 'zzzqqq123'
2. Observe the empty-state panel</t>
        </is>
      </c>
      <c r="H6" s="12" t="inlineStr">
        <is>
          <t>zzzqqq123</t>
        </is>
      </c>
      <c r="I6" s="12" t="inlineStr">
        <is>
          <t>Empty state shows 'No Results Found' heading with guidance text and a 'Clear Search Results' button. Count shows 'Found 0 patients'.</t>
        </is>
      </c>
      <c r="J6" s="12" t="inlineStr">
        <is>
          <t>GET /api/patients</t>
        </is>
      </c>
      <c r="K6" s="14" t="inlineStr"/>
      <c r="L6" s="15" t="inlineStr">
        <is>
          <t>Not Executed</t>
        </is>
      </c>
      <c r="M6" s="15" t="inlineStr"/>
      <c r="N6" s="15" t="inlineStr"/>
      <c r="O6" s="15" t="inlineStr"/>
      <c r="P6" s="14" t="inlineStr"/>
    </row>
    <row r="7" ht="45" customHeight="1">
      <c r="A7" s="11" t="inlineStr">
        <is>
          <t>PAT-006</t>
        </is>
      </c>
      <c r="B7" s="12" t="inlineStr">
        <is>
          <t>Patients List - Search</t>
        </is>
      </c>
      <c r="C7" s="12" t="inlineStr">
        <is>
          <t>Clear Search Results restores full list</t>
        </is>
      </c>
      <c r="D7" s="20" t="inlineStr">
        <is>
          <t>Low</t>
        </is>
      </c>
      <c r="E7" s="12" t="inlineStr">
        <is>
          <t>Functional</t>
        </is>
      </c>
      <c r="F7" s="12" t="inlineStr">
        <is>
          <t>A no-match search was performed (PAT-005).</t>
        </is>
      </c>
      <c r="G7" s="12" t="inlineStr">
        <is>
          <t>1. Click 'Clear Search Results' in the empty state</t>
        </is>
      </c>
      <c r="H7" s="12" t="inlineStr">
        <is>
          <t>N/A</t>
        </is>
      </c>
      <c r="I7" s="12" t="inlineStr">
        <is>
          <t>Search box clears, list reloads page 1 with all patients (GET /api/patients with empty q).</t>
        </is>
      </c>
      <c r="J7" s="12" t="inlineStr">
        <is>
          <t>GET /api/patients</t>
        </is>
      </c>
      <c r="K7" s="14" t="inlineStr"/>
      <c r="L7" s="15" t="inlineStr">
        <is>
          <t>Not Executed</t>
        </is>
      </c>
      <c r="M7" s="15" t="inlineStr"/>
      <c r="N7" s="15" t="inlineStr"/>
      <c r="O7" s="15" t="inlineStr"/>
      <c r="P7" s="14" t="inlineStr"/>
    </row>
    <row r="8" ht="90" customHeight="1">
      <c r="A8" s="16" t="inlineStr">
        <is>
          <t>PAT-007</t>
        </is>
      </c>
      <c r="B8" s="17" t="inlineStr">
        <is>
          <t>Patients List - View Toggle</t>
        </is>
      </c>
      <c r="C8" s="17" t="inlineStr">
        <is>
          <t>Toggle between Grid and Table views</t>
        </is>
      </c>
      <c r="D8" s="18" t="inlineStr">
        <is>
          <t>Medium</t>
        </is>
      </c>
      <c r="E8" s="17" t="inlineStr">
        <is>
          <t>UI/UX</t>
        </is>
      </c>
      <c r="F8" s="17" t="inlineStr">
        <is>
          <t>Patients exist.</t>
        </is>
      </c>
      <c r="G8" s="17" t="inlineStr">
        <is>
          <t>1. Click the 'Table' toggle button
2. Click the 'Grid' toggle button</t>
        </is>
      </c>
      <c r="H8" s="17" t="inlineStr">
        <is>
          <t>N/A</t>
        </is>
      </c>
      <c r="I8" s="17" t="inlineStr">
        <is>
          <t>Table view shows columns: Patient Name (with UHID), Gender, Age, Contact, Location, Status, Last Activity, Actions. Grid view shows detailed PatientCards. Toggle is client-side only (no new API call) and highlights the active button.</t>
        </is>
      </c>
      <c r="J8" s="17" t="inlineStr">
        <is>
          <t>N/A</t>
        </is>
      </c>
      <c r="K8" s="14" t="inlineStr"/>
      <c r="L8" s="15" t="inlineStr">
        <is>
          <t>Not Executed</t>
        </is>
      </c>
      <c r="M8" s="15" t="inlineStr"/>
      <c r="N8" s="15" t="inlineStr"/>
      <c r="O8" s="15" t="inlineStr"/>
      <c r="P8" s="14" t="inlineStr"/>
    </row>
    <row r="9" ht="90" customHeight="1">
      <c r="A9" s="11" t="inlineStr">
        <is>
          <t>PAT-008</t>
        </is>
      </c>
      <c r="B9" s="12" t="inlineStr">
        <is>
          <t>Patients List - Filters</t>
        </is>
      </c>
      <c r="C9" s="12" t="inlineStr">
        <is>
          <t>BSC filter chip cycles All -&gt; BSC Only -&gt; N-BSC Only -&gt; All</t>
        </is>
      </c>
      <c r="D9" s="13" t="inlineStr">
        <is>
          <t>High</t>
        </is>
      </c>
      <c r="E9" s="12" t="inlineStr">
        <is>
          <t>Functional</t>
        </is>
      </c>
      <c r="F9" s="12" t="inlineStr">
        <is>
          <t>Patients with bsc_status true and false exist.</t>
        </is>
      </c>
      <c r="G9" s="12" t="inlineStr">
        <is>
          <t>1. Click the BSC chip once (BSC Only)
2. Click again (N-BSC Only)
3. Click again (All Patients)</t>
        </is>
      </c>
      <c r="H9" s="12" t="inlineStr">
        <is>
          <t>N/A</t>
        </is>
      </c>
      <c r="I9" s="12" t="inlineStr">
        <is>
          <t>First click sends bsc_status=true (green chip 'BSC Only'); second sends bsc_status=false (grey 'N-BSC Only'); third removes the param ('All Patients'). List + count update each time and page resets implicitly via effect.</t>
        </is>
      </c>
      <c r="J9" s="12" t="inlineStr">
        <is>
          <t>GET /api/patients?bsc_status=true|false</t>
        </is>
      </c>
      <c r="K9" s="14" t="inlineStr"/>
      <c r="L9" s="15" t="inlineStr">
        <is>
          <t>Not Executed</t>
        </is>
      </c>
      <c r="M9" s="15" t="inlineStr"/>
      <c r="N9" s="15" t="inlineStr"/>
      <c r="O9" s="15" t="inlineStr"/>
      <c r="P9" s="14" t="inlineStr"/>
    </row>
    <row r="10" ht="60" customHeight="1">
      <c r="A10" s="11" t="inlineStr">
        <is>
          <t>PAT-009</t>
        </is>
      </c>
      <c r="B10" s="12" t="inlineStr">
        <is>
          <t>Patients List - Filters</t>
        </is>
      </c>
      <c r="C10" s="12" t="inlineStr">
        <is>
          <t>Onco filter chip cycles All Types -&gt; Onco Only -&gt; Non-Onco Only -&gt; All</t>
        </is>
      </c>
      <c r="D10" s="13" t="inlineStr">
        <is>
          <t>High</t>
        </is>
      </c>
      <c r="E10" s="12" t="inlineStr">
        <is>
          <t>Functional</t>
        </is>
      </c>
      <c r="F10" s="12" t="inlineStr">
        <is>
          <t>Patients with is_onco true and false exist.</t>
        </is>
      </c>
      <c r="G10" s="12" t="inlineStr">
        <is>
          <t>1. Click the Onco chip three times observing each state</t>
        </is>
      </c>
      <c r="H10" s="12" t="inlineStr">
        <is>
          <t>N/A</t>
        </is>
      </c>
      <c r="I10" s="12" t="inlineStr">
        <is>
          <t>Sends is_onco=true, then is_onco=false, then no param. Chip label and color change (orange/purple/neutral) and results filter accordingly.</t>
        </is>
      </c>
      <c r="J10" s="12" t="inlineStr">
        <is>
          <t>GET /api/patients?is_onco=true|false</t>
        </is>
      </c>
      <c r="K10" s="14" t="inlineStr"/>
      <c r="L10" s="15" t="inlineStr">
        <is>
          <t>Not Executed</t>
        </is>
      </c>
      <c r="M10" s="15" t="inlineStr"/>
      <c r="N10" s="15" t="inlineStr"/>
      <c r="O10" s="15" t="inlineStr"/>
      <c r="P10" s="14" t="inlineStr"/>
    </row>
    <row r="11" ht="75" customHeight="1">
      <c r="A11" s="11" t="inlineStr">
        <is>
          <t>PAT-010</t>
        </is>
      </c>
      <c r="B11" s="12" t="inlineStr">
        <is>
          <t>Patients List - Filters</t>
        </is>
      </c>
      <c r="C11" s="12" t="inlineStr">
        <is>
          <t>Zone filter chips filter by geographic_cluster and toggle off</t>
        </is>
      </c>
      <c r="D11" s="13" t="inlineStr">
        <is>
          <t>High</t>
        </is>
      </c>
      <c r="E11" s="12" t="inlineStr">
        <is>
          <t>Functional</t>
        </is>
      </c>
      <c r="F11" s="12" t="inlineStr">
        <is>
          <t>Patients exist in North and South zones.</t>
        </is>
      </c>
      <c r="G11" s="12" t="inlineStr">
        <is>
          <t>1. Click the 'South' zone chip
2. Click 'South' again to clear
3. Click 'North'</t>
        </is>
      </c>
      <c r="H11" s="12" t="inlineStr">
        <is>
          <t>South / North</t>
        </is>
      </c>
      <c r="I11" s="12" t="inlineStr">
        <is>
          <t>Clicking 'South' sends geographic_cluster=South and highlights it blue; only South patients show. Clicking again clears it. Selecting a different zone replaces the filter.</t>
        </is>
      </c>
      <c r="J11" s="12" t="inlineStr">
        <is>
          <t>GET /api/patients?geographic_cluster=South</t>
        </is>
      </c>
      <c r="K11" s="14" t="inlineStr"/>
      <c r="L11" s="15" t="inlineStr">
        <is>
          <t>Not Executed</t>
        </is>
      </c>
      <c r="M11" s="15" t="inlineStr"/>
      <c r="N11" s="15" t="inlineStr"/>
      <c r="O11" s="15" t="inlineStr"/>
      <c r="P11" s="14" t="inlineStr"/>
    </row>
    <row r="12" ht="60" customHeight="1">
      <c r="A12" s="11" t="inlineStr">
        <is>
          <t>PAT-011</t>
        </is>
      </c>
      <c r="B12" s="12" t="inlineStr">
        <is>
          <t>Patients List - Filters</t>
        </is>
      </c>
      <c r="C12" s="12" t="inlineStr">
        <is>
          <t>Combine BSC + Onco + Zone filters together</t>
        </is>
      </c>
      <c r="D12" s="19" t="inlineStr">
        <is>
          <t>Medium</t>
        </is>
      </c>
      <c r="E12" s="12" t="inlineStr">
        <is>
          <t>Functional</t>
        </is>
      </c>
      <c r="F12" s="12" t="inlineStr">
        <is>
          <t>A BSC + Onco + South patient exists.</t>
        </is>
      </c>
      <c r="G12" s="12" t="inlineStr">
        <is>
          <t>1. Set BSC Only, Onco Only, and Zone South
2. Observe results and the request</t>
        </is>
      </c>
      <c r="H12" s="12" t="inlineStr">
        <is>
          <t>N/A</t>
        </is>
      </c>
      <c r="I12" s="12" t="inlineStr">
        <is>
          <t>GET /api/patients includes bsc_status=true, is_onco=true and geographic_cluster=South together; only patients matching all three are returned.</t>
        </is>
      </c>
      <c r="J12" s="12" t="inlineStr">
        <is>
          <t>GET /api/patients?bsc_status=true&amp;is_onco=true&amp;geographic_cluster=South</t>
        </is>
      </c>
      <c r="K12" s="14" t="inlineStr"/>
      <c r="L12" s="15" t="inlineStr">
        <is>
          <t>Not Executed</t>
        </is>
      </c>
      <c r="M12" s="15" t="inlineStr"/>
      <c r="N12" s="15" t="inlineStr"/>
      <c r="O12" s="15" t="inlineStr"/>
      <c r="P12" s="14" t="inlineStr"/>
    </row>
    <row r="13" ht="60" customHeight="1">
      <c r="A13" s="11" t="inlineStr">
        <is>
          <t>PAT-012</t>
        </is>
      </c>
      <c r="B13" s="12" t="inlineStr">
        <is>
          <t>Patients List - Filters</t>
        </is>
      </c>
      <c r="C13" s="12" t="inlineStr">
        <is>
          <t>'Clear filters' link appears and resets all chips</t>
        </is>
      </c>
      <c r="D13" s="19" t="inlineStr">
        <is>
          <t>Medium</t>
        </is>
      </c>
      <c r="E13" s="12" t="inlineStr">
        <is>
          <t>Functional</t>
        </is>
      </c>
      <c r="F13" s="12" t="inlineStr">
        <is>
          <t>At least one filter is active.</t>
        </is>
      </c>
      <c r="G13" s="12" t="inlineStr">
        <is>
          <t>1. Activate any combination of BSC/Onco/Zone filters
2. Click 'Clear filters'</t>
        </is>
      </c>
      <c r="H13" s="12" t="inlineStr">
        <is>
          <t>N/A</t>
        </is>
      </c>
      <c r="I13" s="12" t="inlineStr">
        <is>
          <t>The 'Clear filters' control only renders when a filter is active. Clicking it resets BSC, Onco and Zone to default and reloads the unfiltered list.</t>
        </is>
      </c>
      <c r="J13" s="12" t="inlineStr">
        <is>
          <t>GET /api/patients</t>
        </is>
      </c>
      <c r="K13" s="14" t="inlineStr"/>
      <c r="L13" s="15" t="inlineStr">
        <is>
          <t>Not Executed</t>
        </is>
      </c>
      <c r="M13" s="15" t="inlineStr"/>
      <c r="N13" s="15" t="inlineStr"/>
      <c r="O13" s="15" t="inlineStr"/>
      <c r="P13" s="14" t="inlineStr"/>
    </row>
    <row r="14" ht="75" customHeight="1">
      <c r="A14" s="16" t="inlineStr">
        <is>
          <t>PAT-013</t>
        </is>
      </c>
      <c r="B14" s="17" t="inlineStr">
        <is>
          <t>Patients List - Pagination</t>
        </is>
      </c>
      <c r="C14" s="17" t="inlineStr">
        <is>
          <t>Next/Previous pagination navigates pages and disables at bounds</t>
        </is>
      </c>
      <c r="D14" s="21" t="inlineStr">
        <is>
          <t>High</t>
        </is>
      </c>
      <c r="E14" s="17" t="inlineStr">
        <is>
          <t>Functional</t>
        </is>
      </c>
      <c r="F14" s="17" t="inlineStr">
        <is>
          <t>&gt;20 patients so total_pages &gt; 1.</t>
        </is>
      </c>
      <c r="G14" s="17" t="inlineStr">
        <is>
          <t>1. On page 1, confirm Previous (&lt;) is disabled
2. Click Next (&gt;) to go to page 2
3. Navigate to the last page and confirm Next is disabled</t>
        </is>
      </c>
      <c r="H14" s="17" t="inlineStr">
        <is>
          <t>N/A</t>
        </is>
      </c>
      <c r="I14" s="17" t="inlineStr">
        <is>
          <t>Page indicator shows 'current | total'. On page 1 the Previous button is disabled; on the last page Next is disabled. Each navigation fires GET /api/patients with the new page and scrolls to top.</t>
        </is>
      </c>
      <c r="J14" s="17" t="inlineStr">
        <is>
          <t>GET /api/patients?page=2</t>
        </is>
      </c>
      <c r="K14" s="14" t="inlineStr"/>
      <c r="L14" s="15" t="inlineStr">
        <is>
          <t>Not Executed</t>
        </is>
      </c>
      <c r="M14" s="15" t="inlineStr"/>
      <c r="N14" s="15" t="inlineStr"/>
      <c r="O14" s="15" t="inlineStr"/>
      <c r="P14" s="14" t="inlineStr"/>
    </row>
    <row r="15" ht="45" customHeight="1">
      <c r="A15" s="16" t="inlineStr">
        <is>
          <t>PAT-014</t>
        </is>
      </c>
      <c r="B15" s="17" t="inlineStr">
        <is>
          <t>Patients List - Pagination</t>
        </is>
      </c>
      <c r="C15" s="17" t="inlineStr">
        <is>
          <t>Pagination control hidden when only one page of results</t>
        </is>
      </c>
      <c r="D15" s="22" t="inlineStr">
        <is>
          <t>Low</t>
        </is>
      </c>
      <c r="E15" s="17" t="inlineStr">
        <is>
          <t>Edge Case</t>
        </is>
      </c>
      <c r="F15" s="17" t="inlineStr">
        <is>
          <t>A filter/search narrows results to &lt;=20 (total_pages = 1).</t>
        </is>
      </c>
      <c r="G15" s="17" t="inlineStr">
        <is>
          <t>1. Apply a narrow filter that returns &lt;=20 patients
2. Look for the pagination control</t>
        </is>
      </c>
      <c r="H15" s="17" t="inlineStr">
        <is>
          <t>N/A</t>
        </is>
      </c>
      <c r="I15" s="17" t="inlineStr">
        <is>
          <t>No pagination control is rendered when total_pages &lt;= 1.</t>
        </is>
      </c>
      <c r="J15" s="17" t="inlineStr">
        <is>
          <t>GET /api/patients</t>
        </is>
      </c>
      <c r="K15" s="14" t="inlineStr"/>
      <c r="L15" s="15" t="inlineStr">
        <is>
          <t>Not Executed</t>
        </is>
      </c>
      <c r="M15" s="15" t="inlineStr"/>
      <c r="N15" s="15" t="inlineStr"/>
      <c r="O15" s="15" t="inlineStr"/>
      <c r="P15" s="14" t="inlineStr"/>
    </row>
    <row r="16" ht="60" customHeight="1">
      <c r="A16" s="11" t="inlineStr">
        <is>
          <t>PAT-015</t>
        </is>
      </c>
      <c r="B16" s="12" t="inlineStr">
        <is>
          <t>Patients List - Navigation</t>
        </is>
      </c>
      <c r="C16" s="12" t="inlineStr">
        <is>
          <t>Clicking a patient card/row opens the patient detail page</t>
        </is>
      </c>
      <c r="D16" s="13" t="inlineStr">
        <is>
          <t>High</t>
        </is>
      </c>
      <c r="E16" s="12" t="inlineStr">
        <is>
          <t>Functional</t>
        </is>
      </c>
      <c r="F16" s="12" t="inlineStr">
        <is>
          <t>Patients exist.</t>
        </is>
      </c>
      <c r="G16" s="12" t="inlineStr">
        <is>
          <t>1. Click any patient card in grid view
2. Go back, switch to table view and click a row (or the Eye action)</t>
        </is>
      </c>
      <c r="H16" s="12" t="inlineStr">
        <is>
          <t>N/A</t>
        </is>
      </c>
      <c r="I16" s="12" t="inlineStr">
        <is>
          <t>Navigates to /patients/&lt;uuid&gt;; the detail dashboard loads (GET /api/patients/:id). Both card click and table row/Eye action navigate.</t>
        </is>
      </c>
      <c r="J16" s="12" t="inlineStr">
        <is>
          <t>GET /api/patients/:id</t>
        </is>
      </c>
      <c r="K16" s="14" t="inlineStr"/>
      <c r="L16" s="15" t="inlineStr">
        <is>
          <t>Not Executed</t>
        </is>
      </c>
      <c r="M16" s="15" t="inlineStr"/>
      <c r="N16" s="15" t="inlineStr"/>
      <c r="O16" s="15" t="inlineStr"/>
      <c r="P16" s="14" t="inlineStr"/>
    </row>
    <row r="17" ht="45" customHeight="1">
      <c r="A17" s="16" t="inlineStr">
        <is>
          <t>PAT-016</t>
        </is>
      </c>
      <c r="B17" s="17" t="inlineStr">
        <is>
          <t>Patients List - Empty Registry</t>
        </is>
      </c>
      <c r="C17" s="17" t="inlineStr">
        <is>
          <t>Empty registry state shows 'Register First Patient' CTA</t>
        </is>
      </c>
      <c r="D17" s="22" t="inlineStr">
        <is>
          <t>Low</t>
        </is>
      </c>
      <c r="E17" s="17" t="inlineStr">
        <is>
          <t>Edge Case</t>
        </is>
      </c>
      <c r="F17" s="17" t="inlineStr">
        <is>
          <t>No patients in the system (test/staging env) and no search query.</t>
        </is>
      </c>
      <c r="G17" s="17" t="inlineStr">
        <is>
          <t>1. Open /patients with an empty registry</t>
        </is>
      </c>
      <c r="H17" s="17" t="inlineStr">
        <is>
          <t>N/A</t>
        </is>
      </c>
      <c r="I17" s="17" t="inlineStr">
        <is>
          <t>Shows 'Your Patient Registry is Empty' with a 'Register First Patient' button that opens the registration dialog.</t>
        </is>
      </c>
      <c r="J17" s="17" t="inlineStr">
        <is>
          <t>GET /api/patients</t>
        </is>
      </c>
      <c r="K17" s="14" t="inlineStr"/>
      <c r="L17" s="15" t="inlineStr">
        <is>
          <t>Not Executed</t>
        </is>
      </c>
      <c r="M17" s="15" t="inlineStr"/>
      <c r="N17" s="15" t="inlineStr"/>
      <c r="O17" s="15" t="inlineStr"/>
      <c r="P17" s="14" t="inlineStr"/>
    </row>
    <row r="18" ht="60" customHeight="1">
      <c r="A18" s="11" t="inlineStr">
        <is>
          <t>PAT-017</t>
        </is>
      </c>
      <c r="B18" s="12" t="inlineStr">
        <is>
          <t>Patients List - Add Patient</t>
        </is>
      </c>
      <c r="C18" s="12" t="inlineStr">
        <is>
          <t>'Add New Patient' opens the registration dialog</t>
        </is>
      </c>
      <c r="D18" s="13" t="inlineStr">
        <is>
          <t>High</t>
        </is>
      </c>
      <c r="E18" s="12" t="inlineStr">
        <is>
          <t>Functional</t>
        </is>
      </c>
      <c r="F18" s="12" t="inlineStr">
        <is>
          <t>Logged in.</t>
        </is>
      </c>
      <c r="G18" s="12" t="inlineStr">
        <is>
          <t>1. Click 'Add New Patient' in the header</t>
        </is>
      </c>
      <c r="H18" s="12" t="inlineStr">
        <is>
          <t>N/A</t>
        </is>
      </c>
      <c r="I18" s="12" t="inlineStr">
        <is>
          <t>The 'Register New Patient' dialog opens. On open it fetches diagnosis options and referral partners (GET config endpoints).</t>
        </is>
      </c>
      <c r="J18" s="12" t="inlineStr">
        <is>
          <t>GET /api/patients/config/diagnosis-options; GET /api/patients/config/referral-partners</t>
        </is>
      </c>
      <c r="K18" s="14" t="inlineStr"/>
      <c r="L18" s="15" t="inlineStr">
        <is>
          <t>Not Executed</t>
        </is>
      </c>
      <c r="M18" s="15" t="inlineStr"/>
      <c r="N18" s="15" t="inlineStr"/>
      <c r="O18" s="15" t="inlineStr"/>
      <c r="P18" s="14" t="inlineStr"/>
    </row>
    <row r="19" ht="60" customHeight="1">
      <c r="A19" s="16" t="inlineStr">
        <is>
          <t>PAT-018</t>
        </is>
      </c>
      <c r="B19" s="17" t="inlineStr">
        <is>
          <t>Registration - Required Validation</t>
        </is>
      </c>
      <c r="C19" s="17" t="inlineStr">
        <is>
          <t>Submitting empty form shows required-field errors</t>
        </is>
      </c>
      <c r="D19" s="21" t="inlineStr">
        <is>
          <t>High</t>
        </is>
      </c>
      <c r="E19" s="17" t="inlineStr">
        <is>
          <t>Validation</t>
        </is>
      </c>
      <c r="F19" s="17" t="inlineStr">
        <is>
          <t>Registration dialog open.</t>
        </is>
      </c>
      <c r="G19" s="17" t="inlineStr">
        <is>
          <t>1. Click 'Create Patient' without entering anything</t>
        </is>
      </c>
      <c r="H19" s="17" t="inlineStr">
        <is>
          <t>N/A</t>
        </is>
      </c>
      <c r="I19" s="17" t="inlineStr">
        <is>
          <t>Inline errors appear: First Name required (min 2 chars), Date of Birth required, Gender required, Diagnosis required. No API call is made until validation passes.</t>
        </is>
      </c>
      <c r="J19" s="17" t="inlineStr">
        <is>
          <t>N/A</t>
        </is>
      </c>
      <c r="K19" s="14" t="inlineStr"/>
      <c r="L19" s="15" t="inlineStr">
        <is>
          <t>Not Executed</t>
        </is>
      </c>
      <c r="M19" s="15" t="inlineStr"/>
      <c r="N19" s="15" t="inlineStr"/>
      <c r="O19" s="15" t="inlineStr"/>
      <c r="P19" s="14" t="inlineStr"/>
    </row>
    <row r="20" ht="45" customHeight="1">
      <c r="A20" s="11" t="inlineStr">
        <is>
          <t>PAT-019</t>
        </is>
      </c>
      <c r="B20" s="12" t="inlineStr">
        <is>
          <t>Registration - First Name Validation</t>
        </is>
      </c>
      <c r="C20" s="12" t="inlineStr">
        <is>
          <t>First name below 2 characters is rejected</t>
        </is>
      </c>
      <c r="D20" s="19" t="inlineStr">
        <is>
          <t>Medium</t>
        </is>
      </c>
      <c r="E20" s="12" t="inlineStr">
        <is>
          <t>Validation</t>
        </is>
      </c>
      <c r="F20" s="12" t="inlineStr">
        <is>
          <t>Registration dialog open.</t>
        </is>
      </c>
      <c r="G20" s="12" t="inlineStr">
        <is>
          <t>1. Enter 'R' as First Name and fill other required fields
2. Click Create Patient</t>
        </is>
      </c>
      <c r="H20" s="12" t="inlineStr">
        <is>
          <t>First Name = R</t>
        </is>
      </c>
      <c r="I20" s="12" t="inlineStr">
        <is>
          <t>Error 'First name is required (minimum 2 characters)'. First letter auto-capitalises as you type.</t>
        </is>
      </c>
      <c r="J20" s="12" t="inlineStr">
        <is>
          <t>N/A</t>
        </is>
      </c>
      <c r="K20" s="14" t="inlineStr"/>
      <c r="L20" s="15" t="inlineStr">
        <is>
          <t>Not Executed</t>
        </is>
      </c>
      <c r="M20" s="15" t="inlineStr"/>
      <c r="N20" s="15" t="inlineStr"/>
      <c r="O20" s="15" t="inlineStr"/>
      <c r="P20" s="14" t="inlineStr"/>
    </row>
    <row r="21" ht="45" customHeight="1">
      <c r="A21" s="16" t="inlineStr">
        <is>
          <t>PAT-020</t>
        </is>
      </c>
      <c r="B21" s="17" t="inlineStr">
        <is>
          <t>Registration - DOB Validation</t>
        </is>
      </c>
      <c r="C21" s="17" t="inlineStr">
        <is>
          <t>Future date of birth is rejected</t>
        </is>
      </c>
      <c r="D21" s="21" t="inlineStr">
        <is>
          <t>High</t>
        </is>
      </c>
      <c r="E21" s="17" t="inlineStr">
        <is>
          <t>Validation</t>
        </is>
      </c>
      <c r="F21" s="17" t="inlineStr">
        <is>
          <t>Registration dialog open; Approx Age toggle OFF.</t>
        </is>
      </c>
      <c r="G21" s="17" t="inlineStr">
        <is>
          <t>1. Enter a DOB after today's date (e.g. 01/01/2027)
2. Fill other required fields and click Create</t>
        </is>
      </c>
      <c r="H21" s="17" t="inlineStr">
        <is>
          <t>DOB = 2027-01-01</t>
        </is>
      </c>
      <c r="I21" s="17" t="inlineStr">
        <is>
          <t>Error 'Date of birth cannot be in the future'; no patient is created.</t>
        </is>
      </c>
      <c r="J21" s="17" t="inlineStr">
        <is>
          <t>N/A</t>
        </is>
      </c>
      <c r="K21" s="14" t="inlineStr"/>
      <c r="L21" s="15" t="inlineStr">
        <is>
          <t>Not Executed</t>
        </is>
      </c>
      <c r="M21" s="15" t="inlineStr"/>
      <c r="N21" s="15" t="inlineStr"/>
      <c r="O21" s="15" t="inlineStr"/>
      <c r="P21" s="14" t="inlineStr"/>
    </row>
    <row r="22" ht="75" customHeight="1">
      <c r="A22" s="11" t="inlineStr">
        <is>
          <t>PAT-021</t>
        </is>
      </c>
      <c r="B22" s="12" t="inlineStr">
        <is>
          <t>Registration - Approximate Age</t>
        </is>
      </c>
      <c r="C22" s="12" t="inlineStr">
        <is>
          <t>Approximate Age toggle replaces DOB and derives Jan-1 birth year</t>
        </is>
      </c>
      <c r="D22" s="19" t="inlineStr">
        <is>
          <t>Medium</t>
        </is>
      </c>
      <c r="E22" s="12" t="inlineStr">
        <is>
          <t>Functional</t>
        </is>
      </c>
      <c r="F22" s="12" t="inlineStr">
        <is>
          <t>Registration dialog open.</t>
        </is>
      </c>
      <c r="G22" s="12" t="inlineStr">
        <is>
          <t>1. Turn on the 'Approx Age' switch
2. Enter 60 as approximate age
3. Fill remaining required fields and create</t>
        </is>
      </c>
      <c r="H22" s="12" t="inlineStr">
        <is>
          <t>Approximate Age = 60</t>
        </is>
      </c>
      <c r="I22" s="12" t="inlineStr">
        <is>
          <t>DOB field is replaced by 'Approximate Age (years)'. On submit date_of_birth is set to (currentYear-60)-01-01 and is_approximate_dob=true is sent. Overview later shows DOB with '(approx)' suffix.</t>
        </is>
      </c>
      <c r="J22" s="12" t="inlineStr">
        <is>
          <t>POST /api/patients</t>
        </is>
      </c>
      <c r="K22" s="14" t="inlineStr"/>
      <c r="L22" s="15" t="inlineStr">
        <is>
          <t>Not Executed</t>
        </is>
      </c>
      <c r="M22" s="15" t="inlineStr"/>
      <c r="N22" s="15" t="inlineStr"/>
      <c r="O22" s="15" t="inlineStr"/>
      <c r="P22" s="14" t="inlineStr"/>
    </row>
    <row r="23" ht="45" customHeight="1">
      <c r="A23" s="16" t="inlineStr">
        <is>
          <t>PAT-022</t>
        </is>
      </c>
      <c r="B23" s="17" t="inlineStr">
        <is>
          <t>Registration - Approximate Age Validation</t>
        </is>
      </c>
      <c r="C23" s="17" t="inlineStr">
        <is>
          <t>Approximate Age required when toggle is on</t>
        </is>
      </c>
      <c r="D23" s="18" t="inlineStr">
        <is>
          <t>Medium</t>
        </is>
      </c>
      <c r="E23" s="17" t="inlineStr">
        <is>
          <t>Validation</t>
        </is>
      </c>
      <c r="F23" s="17" t="inlineStr">
        <is>
          <t>Registration dialog open; Approx Age ON.</t>
        </is>
      </c>
      <c r="G23" s="17" t="inlineStr">
        <is>
          <t>1. Leave approximate age blank, fill other fields, click Create</t>
        </is>
      </c>
      <c r="H23" s="17" t="inlineStr">
        <is>
          <t>Approximate Age = (blank)</t>
        </is>
      </c>
      <c r="I23" s="17" t="inlineStr">
        <is>
          <t>Error 'Please enter approximate age'; no creation.</t>
        </is>
      </c>
      <c r="J23" s="17" t="inlineStr">
        <is>
          <t>N/A</t>
        </is>
      </c>
      <c r="K23" s="14" t="inlineStr"/>
      <c r="L23" s="15" t="inlineStr">
        <is>
          <t>Not Executed</t>
        </is>
      </c>
      <c r="M23" s="15" t="inlineStr"/>
      <c r="N23" s="15" t="inlineStr"/>
      <c r="O23" s="15" t="inlineStr"/>
      <c r="P23" s="14" t="inlineStr"/>
    </row>
    <row r="24" ht="90" customHeight="1">
      <c r="A24" s="11" t="inlineStr">
        <is>
          <t>PAT-023</t>
        </is>
      </c>
      <c r="B24" s="12" t="inlineStr">
        <is>
          <t>Registration - Phone Validation</t>
        </is>
      </c>
      <c r="C24" s="12" t="inlineStr">
        <is>
          <t>Phone accepts only digits and exactly 10 digits with +91 prefix</t>
        </is>
      </c>
      <c r="D24" s="13" t="inlineStr">
        <is>
          <t>High</t>
        </is>
      </c>
      <c r="E24" s="12" t="inlineStr">
        <is>
          <t>Validation</t>
        </is>
      </c>
      <c r="F24" s="12" t="inlineStr">
        <is>
          <t>Registration dialog open.</t>
        </is>
      </c>
      <c r="G24" s="12" t="inlineStr">
        <is>
          <t>1. Type letters and symbols into Phone Number (e.g. 'abc98-76')
2. Type 9 digits then try to submit
3. Enter a valid 10-digit number</t>
        </is>
      </c>
      <c r="H24" s="12" t="inlineStr">
        <is>
          <t>abc98-76 ; 987654321 ; 9876543210</t>
        </is>
      </c>
      <c r="I24" s="12" t="inlineStr">
        <is>
          <t>Non-digits are stripped and input is capped at 10 chars. A 9-digit value triggers 'Phone number must be exactly 10 digits'. A valid 10-digit value is stored as +919876543210 on submit (field shows +91 adornment).</t>
        </is>
      </c>
      <c r="J24" s="12" t="inlineStr">
        <is>
          <t>POST /api/patients</t>
        </is>
      </c>
      <c r="K24" s="14" t="inlineStr"/>
      <c r="L24" s="15" t="inlineStr">
        <is>
          <t>Not Executed</t>
        </is>
      </c>
      <c r="M24" s="15" t="inlineStr"/>
      <c r="N24" s="15" t="inlineStr"/>
      <c r="O24" s="15" t="inlineStr"/>
      <c r="P24" s="14" t="inlineStr"/>
    </row>
    <row r="25" ht="75" customHeight="1">
      <c r="A25" s="16" t="inlineStr">
        <is>
          <t>PAT-024</t>
        </is>
      </c>
      <c r="B25" s="17" t="inlineStr">
        <is>
          <t>Registration - Alternative Phone Validation</t>
        </is>
      </c>
      <c r="C25" s="17" t="inlineStr">
        <is>
          <t>Alternative phone must differ from primary and be 10 digits</t>
        </is>
      </c>
      <c r="D25" s="18" t="inlineStr">
        <is>
          <t>Medium</t>
        </is>
      </c>
      <c r="E25" s="17" t="inlineStr">
        <is>
          <t>Validation</t>
        </is>
      </c>
      <c r="F25" s="17" t="inlineStr">
        <is>
          <t>Registration dialog open; primary phone 9876543210 entered.</t>
        </is>
      </c>
      <c r="G25" s="17" t="inlineStr">
        <is>
          <t>1. Enter the same number 9876543210 in Alternative Phone
2. Then change it to a different 10-digit number</t>
        </is>
      </c>
      <c r="H25" s="17" t="inlineStr">
        <is>
          <t>Alt phone = 9876543210 then 9123456780</t>
        </is>
      </c>
      <c r="I25" s="17" t="inlineStr">
        <is>
          <t>Live error 'Alternative phone must be different from primary phone' while equal; error clears once a different valid 10-digit number is entered. Stored as +91 on submit.</t>
        </is>
      </c>
      <c r="J25" s="17" t="inlineStr">
        <is>
          <t>POST /api/patients</t>
        </is>
      </c>
      <c r="K25" s="14" t="inlineStr"/>
      <c r="L25" s="15" t="inlineStr">
        <is>
          <t>Not Executed</t>
        </is>
      </c>
      <c r="M25" s="15" t="inlineStr"/>
      <c r="N25" s="15" t="inlineStr"/>
      <c r="O25" s="15" t="inlineStr"/>
      <c r="P25" s="14" t="inlineStr"/>
    </row>
    <row r="26" ht="30" customHeight="1">
      <c r="A26" s="11" t="inlineStr">
        <is>
          <t>PAT-025</t>
        </is>
      </c>
      <c r="B26" s="12" t="inlineStr">
        <is>
          <t>Registration - Email Validation</t>
        </is>
      </c>
      <c r="C26" s="12" t="inlineStr">
        <is>
          <t>Invalid email format is rejected</t>
        </is>
      </c>
      <c r="D26" s="19" t="inlineStr">
        <is>
          <t>Medium</t>
        </is>
      </c>
      <c r="E26" s="12" t="inlineStr">
        <is>
          <t>Validation</t>
        </is>
      </c>
      <c r="F26" s="12" t="inlineStr">
        <is>
          <t>Registration dialog open.</t>
        </is>
      </c>
      <c r="G26" s="12" t="inlineStr">
        <is>
          <t>1. Enter 'patient@@email' in Email
2. Fill required fields and click Create</t>
        </is>
      </c>
      <c r="H26" s="12" t="inlineStr">
        <is>
          <t>patient@@email</t>
        </is>
      </c>
      <c r="I26" s="12" t="inlineStr">
        <is>
          <t>Error 'Invalid email format'; no creation until a valid email or blank is provided.</t>
        </is>
      </c>
      <c r="J26" s="12" t="inlineStr">
        <is>
          <t>N/A</t>
        </is>
      </c>
      <c r="K26" s="14" t="inlineStr"/>
      <c r="L26" s="15" t="inlineStr">
        <is>
          <t>Not Executed</t>
        </is>
      </c>
      <c r="M26" s="15" t="inlineStr"/>
      <c r="N26" s="15" t="inlineStr"/>
      <c r="O26" s="15" t="inlineStr"/>
      <c r="P26" s="14" t="inlineStr"/>
    </row>
    <row r="27" ht="60" customHeight="1">
      <c r="A27" s="16" t="inlineStr">
        <is>
          <t>PAT-026</t>
        </is>
      </c>
      <c r="B27" s="17" t="inlineStr">
        <is>
          <t>Registration - ABHA Validation</t>
        </is>
      </c>
      <c r="C27" s="17" t="inlineStr">
        <is>
          <t>ABHA ID must be exactly 14 digits</t>
        </is>
      </c>
      <c r="D27" s="18" t="inlineStr">
        <is>
          <t>Medium</t>
        </is>
      </c>
      <c r="E27" s="17" t="inlineStr">
        <is>
          <t>Validation</t>
        </is>
      </c>
      <c r="F27" s="17" t="inlineStr">
        <is>
          <t>Registration dialog open; ABHA accordion expanded.</t>
        </is>
      </c>
      <c r="G27" s="17" t="inlineStr">
        <is>
          <t>1. Enter '12345' in ABHA ID
2. Then enter a valid 14-digit value with spaces/dashes</t>
        </is>
      </c>
      <c r="H27" s="17" t="inlineStr">
        <is>
          <t>12345 ; 1234-5678-9012-34</t>
        </is>
      </c>
      <c r="I27" s="17" t="inlineStr">
        <is>
          <t>Short value gives 'ABHA ID must be 14 digits'. A 14-digit value (after stripping spaces/dashes) is accepted and stored without separators.</t>
        </is>
      </c>
      <c r="J27" s="17" t="inlineStr">
        <is>
          <t>POST /api/patients</t>
        </is>
      </c>
      <c r="K27" s="14" t="inlineStr"/>
      <c r="L27" s="15" t="inlineStr">
        <is>
          <t>Not Executed</t>
        </is>
      </c>
      <c r="M27" s="15" t="inlineStr"/>
      <c r="N27" s="15" t="inlineStr"/>
      <c r="O27" s="15" t="inlineStr"/>
      <c r="P27" s="14" t="inlineStr"/>
    </row>
    <row r="28" ht="45" customHeight="1">
      <c r="A28" s="11" t="inlineStr">
        <is>
          <t>PAT-027</t>
        </is>
      </c>
      <c r="B28" s="12" t="inlineStr">
        <is>
          <t>Registration - ABHA Duplicate Check</t>
        </is>
      </c>
      <c r="C28" s="12" t="inlineStr">
        <is>
          <t>ABHA address blur triggers duplicate check and warns on match</t>
        </is>
      </c>
      <c r="D28" s="13" t="inlineStr">
        <is>
          <t>High</t>
        </is>
      </c>
      <c r="E28" s="12" t="inlineStr">
        <is>
          <t>Functional</t>
        </is>
      </c>
      <c r="F28" s="12" t="inlineStr">
        <is>
          <t>An existing patient has abha_address 'ramesh.kumar@abdm'.</t>
        </is>
      </c>
      <c r="G28" s="12" t="inlineStr">
        <is>
          <t>1. Enter 'ramesh.kumar@abdm' in ABHA Address
2. Click/tab away from the field (blur)</t>
        </is>
      </c>
      <c r="H28" s="12" t="inlineStr">
        <is>
          <t>ramesh.kumar@abdm</t>
        </is>
      </c>
      <c r="I28" s="12" t="inlineStr">
        <is>
          <t>POST /api/patients/duplicate-check fires; a warning alert shows '...already exists: &lt;Full Name&gt;' at top of the dialog.</t>
        </is>
      </c>
      <c r="J28" s="12" t="inlineStr">
        <is>
          <t>POST /api/patients/duplicate-check</t>
        </is>
      </c>
      <c r="K28" s="14" t="inlineStr"/>
      <c r="L28" s="15" t="inlineStr">
        <is>
          <t>Not Executed</t>
        </is>
      </c>
      <c r="M28" s="15" t="inlineStr"/>
      <c r="N28" s="15" t="inlineStr"/>
      <c r="O28" s="15" t="inlineStr"/>
      <c r="P28" s="14" t="inlineStr"/>
    </row>
    <row r="29" ht="75" customHeight="1">
      <c r="A29" s="16" t="inlineStr">
        <is>
          <t>PAT-028</t>
        </is>
      </c>
      <c r="B29" s="17" t="inlineStr">
        <is>
          <t>Registration - Duplicate Confirm</t>
        </is>
      </c>
      <c r="C29" s="17" t="inlineStr">
        <is>
          <t>Creating despite a duplicate prompts a confirm dialog</t>
        </is>
      </c>
      <c r="D29" s="21" t="inlineStr">
        <is>
          <t>High</t>
        </is>
      </c>
      <c r="E29" s="17" t="inlineStr">
        <is>
          <t>Negative</t>
        </is>
      </c>
      <c r="F29" s="17" t="inlineStr">
        <is>
          <t>Duplicate warning showing (PAT-027); all required fields valid.</t>
        </is>
      </c>
      <c r="G29" s="17" t="inlineStr">
        <is>
          <t>1. Click 'Create Patient' while the duplicate warning is visible
2. In the browser confirm, click Cancel, then retry and click OK</t>
        </is>
      </c>
      <c r="H29" s="17" t="inlineStr">
        <is>
          <t>N/A</t>
        </is>
      </c>
      <c r="I29" s="17" t="inlineStr">
        <is>
          <t>A window.confirm 'A duplicate patient was found. Do you still want to create?' appears. Cancel aborts (no API). OK proceeds to POST /api/patients which may itself return 409 'Duplicate patient found'.</t>
        </is>
      </c>
      <c r="J29" s="17" t="inlineStr">
        <is>
          <t>POST /api/patients</t>
        </is>
      </c>
      <c r="K29" s="14" t="inlineStr"/>
      <c r="L29" s="15" t="inlineStr">
        <is>
          <t>Not Executed</t>
        </is>
      </c>
      <c r="M29" s="15" t="inlineStr"/>
      <c r="N29" s="15" t="inlineStr"/>
      <c r="O29" s="15" t="inlineStr"/>
      <c r="P29" s="14" t="inlineStr"/>
    </row>
    <row r="30" ht="90" customHeight="1">
      <c r="A30" s="11" t="inlineStr">
        <is>
          <t>PAT-029</t>
        </is>
      </c>
      <c r="B30" s="12" t="inlineStr">
        <is>
          <t>Registration - Diagnosis</t>
        </is>
      </c>
      <c r="C30" s="12" t="inlineStr">
        <is>
          <t>Diagnosis is required and 'Other' reveals a free-text field</t>
        </is>
      </c>
      <c r="D30" s="13" t="inlineStr">
        <is>
          <t>High</t>
        </is>
      </c>
      <c r="E30" s="12" t="inlineStr">
        <is>
          <t>Validation</t>
        </is>
      </c>
      <c r="F30" s="12" t="inlineStr">
        <is>
          <t>Registration dialog open.</t>
        </is>
      </c>
      <c r="G30" s="12" t="inlineStr">
        <is>
          <t>1. Leave Diagnosis unselected, fill other fields, click Create
2. Select 'Other' from Diagnosis
3. Leave the Specify Diagnosis blank and click Create
4. Enter custom text and create</t>
        </is>
      </c>
      <c r="H30" s="12" t="inlineStr">
        <is>
          <t>Other -&gt; 'Carcinoma tongue'</t>
        </is>
      </c>
      <c r="I30" s="12" t="inlineStr">
        <is>
          <t>Blank diagnosis gives 'Diagnosis is required'. Selecting Other shows 'Specify Diagnosis'; blank gives 'Please specify the diagnosis'. The typed text is sent as diagnosis (diagnosis_other merged).</t>
        </is>
      </c>
      <c r="J30" s="12" t="inlineStr">
        <is>
          <t>POST /api/patients</t>
        </is>
      </c>
      <c r="K30" s="14" t="inlineStr"/>
      <c r="L30" s="15" t="inlineStr">
        <is>
          <t>Not Executed</t>
        </is>
      </c>
      <c r="M30" s="15" t="inlineStr"/>
      <c r="N30" s="15" t="inlineStr"/>
      <c r="O30" s="15" t="inlineStr"/>
      <c r="P30" s="14" t="inlineStr"/>
    </row>
    <row r="31" ht="75" customHeight="1">
      <c r="A31" s="16" t="inlineStr">
        <is>
          <t>PAT-030</t>
        </is>
      </c>
      <c r="B31" s="17" t="inlineStr">
        <is>
          <t>Registration - Inline Add Diagnosis</t>
        </is>
      </c>
      <c r="C31" s="17" t="inlineStr">
        <is>
          <t>Add a new diagnosis option inline via the + button</t>
        </is>
      </c>
      <c r="D31" s="18" t="inlineStr">
        <is>
          <t>Medium</t>
        </is>
      </c>
      <c r="E31" s="17" t="inlineStr">
        <is>
          <t>Functional</t>
        </is>
      </c>
      <c r="F31" s="17" t="inlineStr">
        <is>
          <t>Registration dialog open.</t>
        </is>
      </c>
      <c r="G31" s="17" t="inlineStr">
        <is>
          <t>1. Click the + next to Diagnosis
2. Type 'Esophageal cancer' and click Add</t>
        </is>
      </c>
      <c r="H31" s="17" t="inlineStr">
        <is>
          <t>Esophageal cancer</t>
        </is>
      </c>
      <c r="I31" s="17" t="inlineStr">
        <is>
          <t>POST /api/patients/config/diagnosis-options adds the option (inserted before 'Other'); dropdown refreshes and the new value is auto-selected. Adding a duplicate option returns 409 and an alert.</t>
        </is>
      </c>
      <c r="J31" s="17" t="inlineStr">
        <is>
          <t>POST /api/patients/config/diagnosis-options</t>
        </is>
      </c>
      <c r="K31" s="14" t="inlineStr"/>
      <c r="L31" s="15" t="inlineStr">
        <is>
          <t>Not Executed</t>
        </is>
      </c>
      <c r="M31" s="15" t="inlineStr"/>
      <c r="N31" s="15" t="inlineStr"/>
      <c r="O31" s="15" t="inlineStr"/>
      <c r="P31" s="14" t="inlineStr"/>
    </row>
    <row r="32" ht="75" customHeight="1">
      <c r="A32" s="11" t="inlineStr">
        <is>
          <t>PAT-031</t>
        </is>
      </c>
      <c r="B32" s="12" t="inlineStr">
        <is>
          <t>Registration - Inline Add Referral</t>
        </is>
      </c>
      <c r="C32" s="12" t="inlineStr">
        <is>
          <t>Add a new referral partner inline and pick 'Other' free text</t>
        </is>
      </c>
      <c r="D32" s="20" t="inlineStr">
        <is>
          <t>Low</t>
        </is>
      </c>
      <c r="E32" s="12" t="inlineStr">
        <is>
          <t>Functional</t>
        </is>
      </c>
      <c r="F32" s="12" t="inlineStr">
        <is>
          <t>Registration dialog open.</t>
        </is>
      </c>
      <c r="G32" s="12" t="inlineStr">
        <is>
          <t>1. Click + next to Referred From, type 'St. Johns Hospital', Add
2. Separately select 'Other' and type a custom source</t>
        </is>
      </c>
      <c r="H32" s="12" t="inlineStr">
        <is>
          <t>St. Johns Hospital</t>
        </is>
      </c>
      <c r="I32" s="12" t="inlineStr">
        <is>
          <t>POST /api/patients/config/referral-partners adds and auto-selects the partner. Selecting 'Other' reveals 'Specify Referral Source' which is merged into referred_from on submit.</t>
        </is>
      </c>
      <c r="J32" s="12" t="inlineStr">
        <is>
          <t>POST /api/patients/config/referral-partners</t>
        </is>
      </c>
      <c r="K32" s="14" t="inlineStr"/>
      <c r="L32" s="15" t="inlineStr">
        <is>
          <t>Not Executed</t>
        </is>
      </c>
      <c r="M32" s="15" t="inlineStr"/>
      <c r="N32" s="15" t="inlineStr"/>
      <c r="O32" s="15" t="inlineStr"/>
      <c r="P32" s="14" t="inlineStr"/>
    </row>
    <row r="33" ht="60" customHeight="1">
      <c r="A33" s="16" t="inlineStr">
        <is>
          <t>PAT-032</t>
        </is>
      </c>
      <c r="B33" s="17" t="inlineStr">
        <is>
          <t>Registration - Bangalore Auto-detect</t>
        </is>
      </c>
      <c r="C33" s="17" t="inlineStr">
        <is>
          <t>Typing city 'Bangalore' auto-enables Bangalore resident and defaults hospital</t>
        </is>
      </c>
      <c r="D33" s="21" t="inlineStr">
        <is>
          <t>High</t>
        </is>
      </c>
      <c r="E33" s="17" t="inlineStr">
        <is>
          <t>Functional</t>
        </is>
      </c>
      <c r="F33" s="17" t="inlineStr">
        <is>
          <t>Registration dialog open; Address accordion expanded.</t>
        </is>
      </c>
      <c r="G33" s="17" t="inlineStr">
        <is>
          <t>1. Enter 'Bengaluru' in City
2. Observe Bangalore toggle and Linked Hospital</t>
        </is>
      </c>
      <c r="H33" s="17" t="inlineStr">
        <is>
          <t>City = Bengaluru</t>
        </is>
      </c>
      <c r="I33" s="17" t="inlineStr">
        <is>
          <t>'Patient is from Bangalore' switch turns on, Linked Hospital defaults to the default hospital (KMIO), and the zone is auto-suggested if a known PIN is already present.</t>
        </is>
      </c>
      <c r="J33" s="17" t="inlineStr">
        <is>
          <t>N/A</t>
        </is>
      </c>
      <c r="K33" s="14" t="inlineStr"/>
      <c r="L33" s="15" t="inlineStr">
        <is>
          <t>Not Executed</t>
        </is>
      </c>
      <c r="M33" s="15" t="inlineStr"/>
      <c r="N33" s="15" t="inlineStr"/>
      <c r="O33" s="15" t="inlineStr"/>
      <c r="P33" s="14" t="inlineStr"/>
    </row>
    <row r="34" ht="60" customHeight="1">
      <c r="A34" s="11" t="inlineStr">
        <is>
          <t>PAT-033</t>
        </is>
      </c>
      <c r="B34" s="12" t="inlineStr">
        <is>
          <t>Registration - Zone from PIN</t>
        </is>
      </c>
      <c r="C34" s="12" t="inlineStr">
        <is>
          <t>Bangalore PIN code auto-suggests the zone</t>
        </is>
      </c>
      <c r="D34" s="13" t="inlineStr">
        <is>
          <t>High</t>
        </is>
      </c>
      <c r="E34" s="12" t="inlineStr">
        <is>
          <t>Functional</t>
        </is>
      </c>
      <c r="F34" s="12" t="inlineStr">
        <is>
          <t>Bangalore resident toggle is ON.</t>
        </is>
      </c>
      <c r="G34" s="12" t="inlineStr">
        <is>
          <t>1. Enter postal code 560004
2. Then change it to 560064
3. Use the 'Auto Detect' button with an unknown PIN</t>
        </is>
      </c>
      <c r="H34" s="12" t="inlineStr">
        <is>
          <t>560004 (South); 560064 (North); 560999 (unknown)</t>
        </is>
      </c>
      <c r="I34" s="12" t="inlineStr">
        <is>
          <t>560004 sets zone to South, 560064 sets North. With an unknown PIN, Auto Detect shows alert 'Could not detect zone from postal code. Please select manually.'</t>
        </is>
      </c>
      <c r="J34" s="12" t="inlineStr">
        <is>
          <t>N/A</t>
        </is>
      </c>
      <c r="K34" s="14" t="inlineStr"/>
      <c r="L34" s="15" t="inlineStr">
        <is>
          <t>Not Executed</t>
        </is>
      </c>
      <c r="M34" s="15" t="inlineStr"/>
      <c r="N34" s="15" t="inlineStr"/>
      <c r="O34" s="15" t="inlineStr"/>
      <c r="P34" s="14" t="inlineStr"/>
    </row>
    <row r="35" ht="45" customHeight="1">
      <c r="A35" s="16" t="inlineStr">
        <is>
          <t>PAT-034</t>
        </is>
      </c>
      <c r="B35" s="17" t="inlineStr">
        <is>
          <t>Registration - Bangalore Required Fields</t>
        </is>
      </c>
      <c r="C35" s="17" t="inlineStr">
        <is>
          <t>Bangalore resident requires both zone and linked hospital</t>
        </is>
      </c>
      <c r="D35" s="21" t="inlineStr">
        <is>
          <t>High</t>
        </is>
      </c>
      <c r="E35" s="17" t="inlineStr">
        <is>
          <t>Validation</t>
        </is>
      </c>
      <c r="F35" s="17" t="inlineStr">
        <is>
          <t>Bangalore toggle ON; required personal fields filled.</t>
        </is>
      </c>
      <c r="G35" s="17" t="inlineStr">
        <is>
          <t>1. Clear the Bangalore Zone selection and clear Linked Hospital
2. Click Create Patient</t>
        </is>
      </c>
      <c r="H35" s="17" t="inlineStr">
        <is>
          <t>N/A</t>
        </is>
      </c>
      <c r="I35" s="17" t="inlineStr">
        <is>
          <t>Errors 'Please select a Bangalore zone' and 'Please select the linked hospital'; no creation until both are set.</t>
        </is>
      </c>
      <c r="J35" s="17" t="inlineStr">
        <is>
          <t>N/A</t>
        </is>
      </c>
      <c r="K35" s="14" t="inlineStr"/>
      <c r="L35" s="15" t="inlineStr">
        <is>
          <t>Not Executed</t>
        </is>
      </c>
      <c r="M35" s="15" t="inlineStr"/>
      <c r="N35" s="15" t="inlineStr"/>
      <c r="O35" s="15" t="inlineStr"/>
      <c r="P35" s="14" t="inlineStr"/>
    </row>
    <row r="36" ht="90" customHeight="1">
      <c r="A36" s="11" t="inlineStr">
        <is>
          <t>PAT-035</t>
        </is>
      </c>
      <c r="B36" s="12" t="inlineStr">
        <is>
          <t>Registration - Inline Add Hospital</t>
        </is>
      </c>
      <c r="C36" s="12" t="inlineStr">
        <is>
          <t>Add a new hospital inline (code auto-derives KAGBA prefix)</t>
        </is>
      </c>
      <c r="D36" s="19" t="inlineStr">
        <is>
          <t>Medium</t>
        </is>
      </c>
      <c r="E36" s="12" t="inlineStr">
        <is>
          <t>Functional</t>
        </is>
      </c>
      <c r="F36" s="12" t="inlineStr">
        <is>
          <t>Bangalore toggle ON; Linked Hospital + button.</t>
        </is>
      </c>
      <c r="G36" s="12" t="inlineStr">
        <is>
          <t>1. Click + next to Linked Hospital
2. Type code 'MSR' (observe prefix auto-fills 'KAGBAMSR') and Name 'M.S. Ramaiah'
3. Click Add</t>
        </is>
      </c>
      <c r="H36" s="12" t="inlineStr">
        <is>
          <t>Code=MSR, Name=M.S. Ramaiah</t>
        </is>
      </c>
      <c r="I36" s="12" t="inlineStr">
        <is>
          <t>Code is upper-cased and stripped to alnum; homecare_prefix auto-derives as KAGBA+code unless manually edited. POST /api/patients/config/hospital-options adds and the new hospital is auto-selected in Linked Hospital.</t>
        </is>
      </c>
      <c r="J36" s="12" t="inlineStr">
        <is>
          <t>POST /api/patients/config/hospital-options</t>
        </is>
      </c>
      <c r="K36" s="14" t="inlineStr"/>
      <c r="L36" s="15" t="inlineStr">
        <is>
          <t>Not Executed</t>
        </is>
      </c>
      <c r="M36" s="15" t="inlineStr"/>
      <c r="N36" s="15" t="inlineStr"/>
      <c r="O36" s="15" t="inlineStr"/>
      <c r="P36" s="14" t="inlineStr"/>
    </row>
    <row r="37" ht="75" customHeight="1">
      <c r="A37" s="16" t="inlineStr">
        <is>
          <t>PAT-036</t>
        </is>
      </c>
      <c r="B37" s="17" t="inlineStr">
        <is>
          <t>Registration - Add Hospital Validation</t>
        </is>
      </c>
      <c r="C37" s="17" t="inlineStr">
        <is>
          <t>Add hospital requires code and name</t>
        </is>
      </c>
      <c r="D37" s="18" t="inlineStr">
        <is>
          <t>Medium</t>
        </is>
      </c>
      <c r="E37" s="17" t="inlineStr">
        <is>
          <t>Validation</t>
        </is>
      </c>
      <c r="F37" s="17" t="inlineStr">
        <is>
          <t>Add hospital panel open.</t>
        </is>
      </c>
      <c r="G37" s="17" t="inlineStr">
        <is>
          <t>1. Leave Code or Name blank and click Add</t>
        </is>
      </c>
      <c r="H37" s="17" t="inlineStr">
        <is>
          <t>Code=(blank)</t>
        </is>
      </c>
      <c r="I37" s="17" t="inlineStr">
        <is>
          <t>The Add button is disabled until both code and name are present; attempting with missing values alerts 'Code and Name are required'. Backend rejects non-alnum or wrong-length codes with 400.</t>
        </is>
      </c>
      <c r="J37" s="17" t="inlineStr">
        <is>
          <t>POST /api/patients/config/hospital-options</t>
        </is>
      </c>
      <c r="K37" s="14" t="inlineStr"/>
      <c r="L37" s="15" t="inlineStr">
        <is>
          <t>Not Executed</t>
        </is>
      </c>
      <c r="M37" s="15" t="inlineStr"/>
      <c r="N37" s="15" t="inlineStr"/>
      <c r="O37" s="15" t="inlineStr"/>
      <c r="P37" s="14" t="inlineStr"/>
    </row>
    <row r="38" ht="75" customHeight="1">
      <c r="A38" s="11" t="inlineStr">
        <is>
          <t>PAT-037</t>
        </is>
      </c>
      <c r="B38" s="12" t="inlineStr">
        <is>
          <t>Registration - GPS Location</t>
        </is>
      </c>
      <c r="C38" s="12" t="inlineStr">
        <is>
          <t>'Use Current Location' captures lat/long and detects zone</t>
        </is>
      </c>
      <c r="D38" s="19" t="inlineStr">
        <is>
          <t>Medium</t>
        </is>
      </c>
      <c r="E38" s="12" t="inlineStr">
        <is>
          <t>Functional</t>
        </is>
      </c>
      <c r="F38" s="12" t="inlineStr">
        <is>
          <t>Registration dialog open; Location accordion expanded; browser geolocation allowed.</t>
        </is>
      </c>
      <c r="G38" s="12" t="inlineStr">
        <is>
          <t>1. Click 'Use Current Location' and approve the permission prompt</t>
        </is>
      </c>
      <c r="H38" s="12" t="inlineStr">
        <is>
          <t>N/A</t>
        </is>
      </c>
      <c r="I38" s="12" t="inlineStr">
        <is>
          <t>Latitude/Longitude fields fill (6 dp), a green 'Captured' chip + coordinates show, and POST /api/patients/zones/detect is called; if a zone is returned it auto-fills the zone and marks Bangalore resident.</t>
        </is>
      </c>
      <c r="J38" s="12" t="inlineStr">
        <is>
          <t>POST /api/patients/zones/detect</t>
        </is>
      </c>
      <c r="K38" s="14" t="inlineStr"/>
      <c r="L38" s="15" t="inlineStr">
        <is>
          <t>Not Executed</t>
        </is>
      </c>
      <c r="M38" s="15" t="inlineStr"/>
      <c r="N38" s="15" t="inlineStr"/>
      <c r="O38" s="15" t="inlineStr"/>
      <c r="P38" s="14" t="inlineStr"/>
    </row>
    <row r="39" ht="45" customHeight="1">
      <c r="A39" s="16" t="inlineStr">
        <is>
          <t>PAT-038</t>
        </is>
      </c>
      <c r="B39" s="17" t="inlineStr">
        <is>
          <t>Registration - GPS Denied</t>
        </is>
      </c>
      <c r="C39" s="17" t="inlineStr">
        <is>
          <t>Denying/failing geolocation shows an alert</t>
        </is>
      </c>
      <c r="D39" s="22" t="inlineStr">
        <is>
          <t>Low</t>
        </is>
      </c>
      <c r="E39" s="17" t="inlineStr">
        <is>
          <t>Negative</t>
        </is>
      </c>
      <c r="F39" s="17" t="inlineStr">
        <is>
          <t>Registration dialog open; deny browser geolocation.</t>
        </is>
      </c>
      <c r="G39" s="17" t="inlineStr">
        <is>
          <t>1. Click 'Use Current Location' and deny the permission prompt</t>
        </is>
      </c>
      <c r="H39" s="17" t="inlineStr">
        <is>
          <t>N/A</t>
        </is>
      </c>
      <c r="I39" s="17" t="inlineStr">
        <is>
          <t>Alert 'Failed to get location: &lt;message&gt;' shows; lat/long remain blank; no crash.</t>
        </is>
      </c>
      <c r="J39" s="17" t="inlineStr">
        <is>
          <t>N/A</t>
        </is>
      </c>
      <c r="K39" s="14" t="inlineStr"/>
      <c r="L39" s="15" t="inlineStr">
        <is>
          <t>Not Executed</t>
        </is>
      </c>
      <c r="M39" s="15" t="inlineStr"/>
      <c r="N39" s="15" t="inlineStr"/>
      <c r="O39" s="15" t="inlineStr"/>
      <c r="P39" s="14" t="inlineStr"/>
    </row>
    <row r="40" ht="75" customHeight="1">
      <c r="A40" s="11" t="inlineStr">
        <is>
          <t>PAT-039</t>
        </is>
      </c>
      <c r="B40" s="12" t="inlineStr">
        <is>
          <t>Registration - Map Picker</t>
        </is>
      </c>
      <c r="C40" s="12" t="inlineStr">
        <is>
          <t>'Pick on Map' captures location and reverse-geocodes the address</t>
        </is>
      </c>
      <c r="D40" s="19" t="inlineStr">
        <is>
          <t>Medium</t>
        </is>
      </c>
      <c r="E40" s="12" t="inlineStr">
        <is>
          <t>Functional</t>
        </is>
      </c>
      <c r="F40" s="12" t="inlineStr">
        <is>
          <t>Registration dialog open; Location accordion expanded.</t>
        </is>
      </c>
      <c r="G40" s="12" t="inlineStr">
        <is>
          <t>1. Click 'Pick on Map'
2. Drag the map so the pin sits on a Bangalore address
3. Observe lat/long and Address fields</t>
        </is>
      </c>
      <c r="H40" s="12" t="inlineStr">
        <is>
          <t>N/A</t>
        </is>
      </c>
      <c r="I40" s="12" t="inlineStr">
        <is>
          <t>Map renders; moving the pin updates lat/long and triggers zone detection; resolved address auto-fills Address Line/City/State/PIN and, if Bangalore, enables resident + suggests zone.</t>
        </is>
      </c>
      <c r="J40" s="12" t="inlineStr">
        <is>
          <t>POST /api/patients/zones/detect</t>
        </is>
      </c>
      <c r="K40" s="14" t="inlineStr"/>
      <c r="L40" s="15" t="inlineStr">
        <is>
          <t>Not Executed</t>
        </is>
      </c>
      <c r="M40" s="15" t="inlineStr"/>
      <c r="N40" s="15" t="inlineStr"/>
      <c r="O40" s="15" t="inlineStr"/>
      <c r="P40" s="14" t="inlineStr"/>
    </row>
    <row r="41" ht="75" customHeight="1">
      <c r="A41" s="16" t="inlineStr">
        <is>
          <t>PAT-040</t>
        </is>
      </c>
      <c r="B41" s="17" t="inlineStr">
        <is>
          <t>Registration - Patient Category</t>
        </is>
      </c>
      <c r="C41" s="17" t="inlineStr">
        <is>
          <t>Patient Category derives BSC + Onco flags on submit</t>
        </is>
      </c>
      <c r="D41" s="21" t="inlineStr">
        <is>
          <t>High</t>
        </is>
      </c>
      <c r="E41" s="17" t="inlineStr">
        <is>
          <t>Functional</t>
        </is>
      </c>
      <c r="F41" s="17" t="inlineStr">
        <is>
          <t>Registration dialog open.</t>
        </is>
      </c>
      <c r="G41" s="17" t="inlineStr">
        <is>
          <t>1. Open Patient Category &amp; Priority accordion
2. Select 'BSC Onco' and create the patient
3. Repeat for 'Non-BSC Non-Onco' and 'Not Yet Determined'</t>
        </is>
      </c>
      <c r="H41" s="17" t="inlineStr">
        <is>
          <t>BSC Onco / Non-BSC Non-Onco / Not Yet Determined</t>
        </is>
      </c>
      <c r="I41" s="17" t="inlineStr">
        <is>
          <t>BSC Onco -&gt; bsc_status=true,is_onco=true; Non-BSC Non-Onco -&gt; both false; Not Yet Determined -&gt; both null. clinical_complexity defaults to 'not_yet_determined' if left untouched.</t>
        </is>
      </c>
      <c r="J41" s="17" t="inlineStr">
        <is>
          <t>POST /api/patients</t>
        </is>
      </c>
      <c r="K41" s="14" t="inlineStr"/>
      <c r="L41" s="15" t="inlineStr">
        <is>
          <t>Not Executed</t>
        </is>
      </c>
      <c r="M41" s="15" t="inlineStr"/>
      <c r="N41" s="15" t="inlineStr"/>
      <c r="O41" s="15" t="inlineStr"/>
      <c r="P41" s="14" t="inlineStr"/>
    </row>
    <row r="42" ht="105" customHeight="1">
      <c r="A42" s="11" t="inlineStr">
        <is>
          <t>PAT-041</t>
        </is>
      </c>
      <c r="B42" s="12" t="inlineStr">
        <is>
          <t>Registration - Happy Path</t>
        </is>
      </c>
      <c r="C42" s="12" t="inlineStr">
        <is>
          <t>Create a full valid non-Bangalore patient successfully</t>
        </is>
      </c>
      <c r="D42" s="13" t="inlineStr">
        <is>
          <t>High</t>
        </is>
      </c>
      <c r="E42" s="12" t="inlineStr">
        <is>
          <t>Functional</t>
        </is>
      </c>
      <c r="F42" s="12" t="inlineStr">
        <is>
          <t>Registration dialog open.</t>
        </is>
      </c>
      <c r="G42" s="12" t="inlineStr">
        <is>
          <t>1. First=Lakshmi, Last=Devi, DOB=15/03/1968, Gender=Female
2. Phone=9876543210, Diagnosis=Breast cancer, City=Mysore (non-Bangalore)
3. Click Create Patient</t>
        </is>
      </c>
      <c r="H42" s="12" t="inlineStr">
        <is>
          <t>Lakshmi Devi, 1968-03-15, Female, +919876543210, Breast cancer, Mysore</t>
        </is>
      </c>
      <c r="I42" s="12" t="inlineStr">
        <is>
          <t>POST /api/patients returns 201. Success alert appears: 'Patient registered successfully. UHID will be assigned when the Initial Assessment is marked complete...'. Dialog auto-closes after ~2.5s and the list refreshes showing the new patient. full_name is 'Lakshmi Devi'.</t>
        </is>
      </c>
      <c r="J42" s="12" t="inlineStr">
        <is>
          <t>POST /api/patients</t>
        </is>
      </c>
      <c r="K42" s="14" t="inlineStr"/>
      <c r="L42" s="15" t="inlineStr">
        <is>
          <t>Not Executed</t>
        </is>
      </c>
      <c r="M42" s="15" t="inlineStr"/>
      <c r="N42" s="15" t="inlineStr"/>
      <c r="O42" s="15" t="inlineStr"/>
      <c r="P42" s="14" t="inlineStr"/>
    </row>
    <row r="43" ht="45" customHeight="1">
      <c r="A43" s="16" t="inlineStr">
        <is>
          <t>PAT-042</t>
        </is>
      </c>
      <c r="B43" s="17" t="inlineStr">
        <is>
          <t>Registration - Server Error</t>
        </is>
      </c>
      <c r="C43" s="17" t="inlineStr">
        <is>
          <t>Backend 500/validation error surfaces in the dialog</t>
        </is>
      </c>
      <c r="D43" s="18" t="inlineStr">
        <is>
          <t>Medium</t>
        </is>
      </c>
      <c r="E43" s="17" t="inlineStr">
        <is>
          <t>Negative</t>
        </is>
      </c>
      <c r="F43" s="17" t="inlineStr">
        <is>
          <t>Force a backend error (e.g. invalid payload via known constraint).</t>
        </is>
      </c>
      <c r="G43" s="17" t="inlineStr">
        <is>
          <t>1. Submit data that the backend rejects
2. Observe the dialog</t>
        </is>
      </c>
      <c r="H43" s="17" t="inlineStr">
        <is>
          <t>N/A</t>
        </is>
      </c>
      <c r="I43" s="17" t="inlineStr">
        <is>
          <t>A red error alert with the server message shows at the top of the dialog; the dialog stays open; no patient is created.</t>
        </is>
      </c>
      <c r="J43" s="17" t="inlineStr">
        <is>
          <t>POST /api/patients</t>
        </is>
      </c>
      <c r="K43" s="14" t="inlineStr"/>
      <c r="L43" s="15" t="inlineStr">
        <is>
          <t>Not Executed</t>
        </is>
      </c>
      <c r="M43" s="15" t="inlineStr"/>
      <c r="N43" s="15" t="inlineStr"/>
      <c r="O43" s="15" t="inlineStr"/>
      <c r="P43" s="14" t="inlineStr"/>
    </row>
    <row r="44" ht="45" customHeight="1">
      <c r="A44" s="11" t="inlineStr">
        <is>
          <t>PAT-043</t>
        </is>
      </c>
      <c r="B44" s="12" t="inlineStr">
        <is>
          <t>Registration - Cancel/Reset</t>
        </is>
      </c>
      <c r="C44" s="12" t="inlineStr">
        <is>
          <t>Cancel closes the dialog and resets the form</t>
        </is>
      </c>
      <c r="D44" s="20" t="inlineStr">
        <is>
          <t>Low</t>
        </is>
      </c>
      <c r="E44" s="12" t="inlineStr">
        <is>
          <t>UI/UX</t>
        </is>
      </c>
      <c r="F44" s="12" t="inlineStr">
        <is>
          <t>Registration dialog open with partially filled data.</t>
        </is>
      </c>
      <c r="G44" s="12" t="inlineStr">
        <is>
          <t>1. Enter some data then click Cancel
2. Re-open the dialog</t>
        </is>
      </c>
      <c r="H44" s="12" t="inlineStr">
        <is>
          <t>N/A</t>
        </is>
      </c>
      <c r="I44" s="12" t="inlineStr">
        <is>
          <t>Dialog closes immediately; on re-open all fields are reset to defaults (no stale data), errors and warnings cleared.</t>
        </is>
      </c>
      <c r="J44" s="12" t="inlineStr">
        <is>
          <t>N/A</t>
        </is>
      </c>
      <c r="K44" s="14" t="inlineStr"/>
      <c r="L44" s="15" t="inlineStr">
        <is>
          <t>Not Executed</t>
        </is>
      </c>
      <c r="M44" s="15" t="inlineStr"/>
      <c r="N44" s="15" t="inlineStr"/>
      <c r="O44" s="15" t="inlineStr"/>
      <c r="P44" s="14" t="inlineStr"/>
    </row>
    <row r="45" ht="90" customHeight="1">
      <c r="A45" s="16" t="inlineStr">
        <is>
          <t>PAT-044</t>
        </is>
      </c>
      <c r="B45" s="17" t="inlineStr">
        <is>
          <t>Patient Detail - Load</t>
        </is>
      </c>
      <c r="C45" s="17" t="inlineStr">
        <is>
          <t>Patient detail dashboard loads with header and four tabs</t>
        </is>
      </c>
      <c r="D45" s="21" t="inlineStr">
        <is>
          <t>High</t>
        </is>
      </c>
      <c r="E45" s="17" t="inlineStr">
        <is>
          <t>Functional</t>
        </is>
      </c>
      <c r="F45" s="17" t="inlineStr">
        <is>
          <t>A patient exists.</t>
        </is>
      </c>
      <c r="G45" s="17" t="inlineStr">
        <is>
          <t>1. Open /patients/&lt;id&gt;
2. Observe the header card and tab bar</t>
        </is>
      </c>
      <c r="H45" s="17" t="inlineStr">
        <is>
          <t>N/A</t>
        </is>
      </c>
      <c r="I45" s="17" t="inlineStr">
        <is>
          <t>GET /api/patients/:id loads the record. Header shows name, homecare code chip, UHID chip, status chip(s), BSC chip, zone, priority. Tabs Overview/Visits/Trends/Past Records render; Overview is active by default.</t>
        </is>
      </c>
      <c r="J45" s="17" t="inlineStr">
        <is>
          <t>GET /api/patients/:id</t>
        </is>
      </c>
      <c r="K45" s="14" t="inlineStr"/>
      <c r="L45" s="15" t="inlineStr">
        <is>
          <t>Not Executed</t>
        </is>
      </c>
      <c r="M45" s="15" t="inlineStr"/>
      <c r="N45" s="15" t="inlineStr"/>
      <c r="O45" s="15" t="inlineStr"/>
      <c r="P45" s="14" t="inlineStr"/>
    </row>
    <row r="46" ht="45" customHeight="1">
      <c r="A46" s="11" t="inlineStr">
        <is>
          <t>PAT-045</t>
        </is>
      </c>
      <c r="B46" s="12" t="inlineStr">
        <is>
          <t>Patient Detail - Not Found</t>
        </is>
      </c>
      <c r="C46" s="12" t="inlineStr">
        <is>
          <t>Direct URL to a non-existent patient shows 'Patient not found'</t>
        </is>
      </c>
      <c r="D46" s="13" t="inlineStr">
        <is>
          <t>High</t>
        </is>
      </c>
      <c r="E46" s="12" t="inlineStr">
        <is>
          <t>Negative</t>
        </is>
      </c>
      <c r="F46" s="12" t="inlineStr">
        <is>
          <t>Logged in.</t>
        </is>
      </c>
      <c r="G46" s="12" t="inlineStr">
        <is>
          <t>1. Navigate to /patients/00000000-0000-0000-0000-000000000000</t>
        </is>
      </c>
      <c r="H46" s="12" t="inlineStr">
        <is>
          <t>Random valid-format UUID with no record</t>
        </is>
      </c>
      <c r="I46" s="12" t="inlineStr">
        <is>
          <t>GET /api/patients/:id returns 404; the page shows a 'Patient not found' warning rather than crashing.</t>
        </is>
      </c>
      <c r="J46" s="12" t="inlineStr">
        <is>
          <t>GET /api/patients/:id</t>
        </is>
      </c>
      <c r="K46" s="14" t="inlineStr"/>
      <c r="L46" s="15" t="inlineStr">
        <is>
          <t>Not Executed</t>
        </is>
      </c>
      <c r="M46" s="15" t="inlineStr"/>
      <c r="N46" s="15" t="inlineStr"/>
      <c r="O46" s="15" t="inlineStr"/>
      <c r="P46" s="14" t="inlineStr"/>
    </row>
    <row r="47" ht="60" customHeight="1">
      <c r="A47" s="16" t="inlineStr">
        <is>
          <t>PAT-046</t>
        </is>
      </c>
      <c r="B47" s="17" t="inlineStr">
        <is>
          <t>Patient Detail - Invalid ID</t>
        </is>
      </c>
      <c r="C47" s="17" t="inlineStr">
        <is>
          <t>Malformed patient id in URL is handled gracefully</t>
        </is>
      </c>
      <c r="D47" s="18" t="inlineStr">
        <is>
          <t>Medium</t>
        </is>
      </c>
      <c r="E47" s="17" t="inlineStr">
        <is>
          <t>Edge Case</t>
        </is>
      </c>
      <c r="F47" s="17" t="inlineStr">
        <is>
          <t>Logged in.</t>
        </is>
      </c>
      <c r="G47" s="17" t="inlineStr">
        <is>
          <t>1. Navigate to /patients/not-a-uuid</t>
        </is>
      </c>
      <c r="H47" s="17" t="inlineStr">
        <is>
          <t>not-a-uuid</t>
        </is>
      </c>
      <c r="I47" s="17" t="inlineStr">
        <is>
          <t>The route only matches UUIDs server-side; the API returns 404/422 and the UI shows not-found / error state without a blank screen.</t>
        </is>
      </c>
      <c r="J47" s="17" t="inlineStr">
        <is>
          <t>GET /api/patients/:id</t>
        </is>
      </c>
      <c r="K47" s="14" t="inlineStr"/>
      <c r="L47" s="15" t="inlineStr">
        <is>
          <t>Not Executed</t>
        </is>
      </c>
      <c r="M47" s="15" t="inlineStr"/>
      <c r="N47" s="15" t="inlineStr"/>
      <c r="O47" s="15" t="inlineStr"/>
      <c r="P47" s="14" t="inlineStr"/>
    </row>
    <row r="48" ht="45" customHeight="1">
      <c r="A48" s="11" t="inlineStr">
        <is>
          <t>PAT-047</t>
        </is>
      </c>
      <c r="B48" s="12" t="inlineStr">
        <is>
          <t>Patient Detail - Recent Access Tracking</t>
        </is>
      </c>
      <c r="C48" s="12" t="inlineStr">
        <is>
          <t>Opening a patient records it as recently accessed</t>
        </is>
      </c>
      <c r="D48" s="20" t="inlineStr">
        <is>
          <t>Low</t>
        </is>
      </c>
      <c r="E48" s="12" t="inlineStr">
        <is>
          <t>Data Integrity</t>
        </is>
      </c>
      <c r="F48" s="12" t="inlineStr">
        <is>
          <t>Logged in.</t>
        </is>
      </c>
      <c r="G48" s="12" t="inlineStr">
        <is>
          <t>1. Open a patient detail page
2. Open a screen that shows recent patients (PatientSelector) or call GET /api/patients/recent</t>
        </is>
      </c>
      <c r="H48" s="12" t="inlineStr">
        <is>
          <t>N/A</t>
        </is>
      </c>
      <c r="I48" s="12" t="inlineStr">
        <is>
          <t>The just-viewed patient appears at the top of the recent-patients list (track_patient_access runs on GET /api/patients/:id).</t>
        </is>
      </c>
      <c r="J48" s="12" t="inlineStr">
        <is>
          <t>GET /api/patients/recent</t>
        </is>
      </c>
      <c r="K48" s="14" t="inlineStr"/>
      <c r="L48" s="15" t="inlineStr">
        <is>
          <t>Not Executed</t>
        </is>
      </c>
      <c r="M48" s="15" t="inlineStr"/>
      <c r="N48" s="15" t="inlineStr"/>
      <c r="O48" s="15" t="inlineStr"/>
      <c r="P48" s="14" t="inlineStr"/>
    </row>
    <row r="49" ht="75" customHeight="1">
      <c r="A49" s="16" t="inlineStr">
        <is>
          <t>PAT-048</t>
        </is>
      </c>
      <c r="B49" s="17" t="inlineStr">
        <is>
          <t>Patient Detail - UHID Copy</t>
        </is>
      </c>
      <c r="C49" s="17" t="inlineStr">
        <is>
          <t>Clicking the UHID chip copies the UHID to clipboard</t>
        </is>
      </c>
      <c r="D49" s="22" t="inlineStr">
        <is>
          <t>Low</t>
        </is>
      </c>
      <c r="E49" s="17" t="inlineStr">
        <is>
          <t>UI/UX</t>
        </is>
      </c>
      <c r="F49" s="17" t="inlineStr">
        <is>
          <t>Patient with a UHID open.</t>
        </is>
      </c>
      <c r="G49" s="17" t="inlineStr">
        <is>
          <t>1. Click the UHID chip</t>
        </is>
      </c>
      <c r="H49" s="17" t="inlineStr">
        <is>
          <t>N/A</t>
        </is>
      </c>
      <c r="I49" s="17" t="inlineStr">
        <is>
          <t>The UHID is copied to clipboard and the tooltip briefly shows 'Copied!' for ~1.5s. For a patient with no UHID the chip is greyed and not clickable (tooltip 'No UHID (non-Bangalore patient)').</t>
        </is>
      </c>
      <c r="J49" s="17" t="inlineStr">
        <is>
          <t>N/A</t>
        </is>
      </c>
      <c r="K49" s="14" t="inlineStr"/>
      <c r="L49" s="15" t="inlineStr">
        <is>
          <t>Not Executed</t>
        </is>
      </c>
      <c r="M49" s="15" t="inlineStr"/>
      <c r="N49" s="15" t="inlineStr"/>
      <c r="O49" s="15" t="inlineStr"/>
      <c r="P49" s="14" t="inlineStr"/>
    </row>
    <row r="50" ht="60" customHeight="1">
      <c r="A50" s="11" t="inlineStr">
        <is>
          <t>PAT-049</t>
        </is>
      </c>
      <c r="B50" s="12" t="inlineStr">
        <is>
          <t>Patient Detail - Status Chip Three States</t>
        </is>
      </c>
      <c r="C50" s="12" t="inlineStr">
        <is>
          <t>Status chip reflects Alive &amp; Active / Alive &amp; Inactive / Deceased</t>
        </is>
      </c>
      <c r="D50" s="13" t="inlineStr">
        <is>
          <t>High</t>
        </is>
      </c>
      <c r="E50" s="12" t="inlineStr">
        <is>
          <t>Functional</t>
        </is>
      </c>
      <c r="F50" s="12" t="inlineStr">
        <is>
          <t>Three patients exist: active, inactive, deceased.</t>
        </is>
      </c>
      <c r="G50" s="12" t="inlineStr">
        <is>
          <t>1. Open each of the three patients and inspect the status chip</t>
        </is>
      </c>
      <c r="H50" s="12" t="inlineStr">
        <is>
          <t>N/A</t>
        </is>
      </c>
      <c r="I50" s="12" t="inlineStr">
        <is>
          <t>Active shows green 'Alive &amp; Active'; inactive shows grey 'Alive &amp; Inactive'; deceased shows dark chip 'Deceased · &lt;date&gt;' with flower icon.</t>
        </is>
      </c>
      <c r="J50" s="12" t="inlineStr">
        <is>
          <t>GET /api/patients/:id</t>
        </is>
      </c>
      <c r="K50" s="14" t="inlineStr"/>
      <c r="L50" s="15" t="inlineStr">
        <is>
          <t>Not Executed</t>
        </is>
      </c>
      <c r="M50" s="15" t="inlineStr"/>
      <c r="N50" s="15" t="inlineStr"/>
      <c r="O50" s="15" t="inlineStr"/>
      <c r="P50" s="14" t="inlineStr"/>
    </row>
    <row r="51" ht="60" customHeight="1">
      <c r="A51" s="16" t="inlineStr">
        <is>
          <t>PAT-050</t>
        </is>
      </c>
      <c r="B51" s="17" t="inlineStr">
        <is>
          <t>Patient Detail - Scheduling Strip</t>
        </is>
      </c>
      <c r="C51" s="17" t="inlineStr">
        <is>
          <t>Edit Scheduling updates frequency, priority and notes</t>
        </is>
      </c>
      <c r="D51" s="18" t="inlineStr">
        <is>
          <t>Medium</t>
        </is>
      </c>
      <c r="E51" s="17" t="inlineStr">
        <is>
          <t>Functional</t>
        </is>
      </c>
      <c r="F51" s="17" t="inlineStr">
        <is>
          <t>Patient with scheduling meta loaded (strip visible).</t>
        </is>
      </c>
      <c r="G51" s="17" t="inlineStr">
        <is>
          <t>1. Click 'Edit Scheduling'
2. Set frequency 14, priority High, notes 'Only morning visits'
3. Click Save</t>
        </is>
      </c>
      <c r="H51" s="17" t="inlineStr">
        <is>
          <t>freq=14, complexity=high, notes='Only morning visits'</t>
        </is>
      </c>
      <c r="I51" s="17" t="inlineStr">
        <is>
          <t>The scheduling dialog saves (updatePatientMeta) and the strip refreshes to show 'Every 14 days' and the note chip. Save shows 'Saving...' while in flight.</t>
        </is>
      </c>
      <c r="J51" s="17" t="inlineStr">
        <is>
          <t>N/A (scheduling API, cross-module)</t>
        </is>
      </c>
      <c r="K51" s="14" t="inlineStr"/>
      <c r="L51" s="15" t="inlineStr">
        <is>
          <t>Not Executed</t>
        </is>
      </c>
      <c r="M51" s="15" t="inlineStr"/>
      <c r="N51" s="15" t="inlineStr"/>
      <c r="O51" s="15" t="inlineStr"/>
      <c r="P51" s="14" t="inlineStr"/>
    </row>
    <row r="52" ht="60" customHeight="1">
      <c r="A52" s="11" t="inlineStr">
        <is>
          <t>PAT-051</t>
        </is>
      </c>
      <c r="B52" s="12" t="inlineStr">
        <is>
          <t>Patient Detail - Flag Urgent</t>
        </is>
      </c>
      <c r="C52" s="12" t="inlineStr">
        <is>
          <t>Flag and Unflag patient as urgent</t>
        </is>
      </c>
      <c r="D52" s="19" t="inlineStr">
        <is>
          <t>Medium</t>
        </is>
      </c>
      <c r="E52" s="12" t="inlineStr">
        <is>
          <t>Functional</t>
        </is>
      </c>
      <c r="F52" s="12" t="inlineStr">
        <is>
          <t>Patient with scheduling strip visible.</t>
        </is>
      </c>
      <c r="G52" s="12" t="inlineStr">
        <is>
          <t>1. Click 'Flag Urgent', enter a reason, confirm
2. Then click 'Unflag'</t>
        </is>
      </c>
      <c r="H52" s="12" t="inlineStr">
        <is>
          <t>Reason='Rapid deterioration'</t>
        </is>
      </c>
      <c r="I52" s="12" t="inlineStr">
        <is>
          <t>Flagging adds a red 'Flagged' chip with the reason and switches the button to 'Unflag'. Unflagging removes the chip and reverts the button.</t>
        </is>
      </c>
      <c r="J52" s="12" t="inlineStr">
        <is>
          <t>N/A (scheduling API, cross-module)</t>
        </is>
      </c>
      <c r="K52" s="14" t="inlineStr"/>
      <c r="L52" s="15" t="inlineStr">
        <is>
          <t>Not Executed</t>
        </is>
      </c>
      <c r="M52" s="15" t="inlineStr"/>
      <c r="N52" s="15" t="inlineStr"/>
      <c r="O52" s="15" t="inlineStr"/>
      <c r="P52" s="14" t="inlineStr"/>
    </row>
    <row r="53" ht="75" customHeight="1">
      <c r="A53" s="16" t="inlineStr">
        <is>
          <t>PAT-052</t>
        </is>
      </c>
      <c r="B53" s="17" t="inlineStr">
        <is>
          <t>Patient Detail - UHID Regenerate (Admin)</t>
        </is>
      </c>
      <c r="C53" s="17" t="inlineStr">
        <is>
          <t>Admin can regenerate UHID for a Bangalore patient with a zone</t>
        </is>
      </c>
      <c r="D53" s="21" t="inlineStr">
        <is>
          <t>High</t>
        </is>
      </c>
      <c r="E53" s="17" t="inlineStr">
        <is>
          <t>Permission</t>
        </is>
      </c>
      <c r="F53" s="17" t="inlineStr">
        <is>
          <t>Logged in as admin; patient is Bangalore resident with a zone and an existing UHID.</t>
        </is>
      </c>
      <c r="G53" s="17" t="inlineStr">
        <is>
          <t>1. Click the Refresh icon next to the UHID chip
2. Read the warning, enter a reason, click 'Regenerate UHID'</t>
        </is>
      </c>
      <c r="H53" s="17" t="inlineStr">
        <is>
          <t>Reason='Wrong zone selected at registration'</t>
        </is>
      </c>
      <c r="I53" s="17" t="inlineStr">
        <is>
          <t>POST /api/patients/:id/regenerate-uhid returns 200 with a new UHID; header chip updates to the new value; old UHID retained in history (patient still searchable by old UHID).</t>
        </is>
      </c>
      <c r="J53" s="17" t="inlineStr">
        <is>
          <t>POST /api/patients/:id/regenerate-uhid</t>
        </is>
      </c>
      <c r="K53" s="14" t="inlineStr"/>
      <c r="L53" s="15" t="inlineStr">
        <is>
          <t>Not Executed</t>
        </is>
      </c>
      <c r="M53" s="15" t="inlineStr"/>
      <c r="N53" s="15" t="inlineStr"/>
      <c r="O53" s="15" t="inlineStr"/>
      <c r="P53" s="14" t="inlineStr"/>
    </row>
    <row r="54" ht="60" customHeight="1">
      <c r="A54" s="11" t="inlineStr">
        <is>
          <t>PAT-053</t>
        </is>
      </c>
      <c r="B54" s="12" t="inlineStr">
        <is>
          <t>Patient Detail - UHID Regenerate Hidden</t>
        </is>
      </c>
      <c r="C54" s="12" t="inlineStr">
        <is>
          <t>Non-admin does not see the Regenerate UHID control</t>
        </is>
      </c>
      <c r="D54" s="13" t="inlineStr">
        <is>
          <t>High</t>
        </is>
      </c>
      <c r="E54" s="12" t="inlineStr">
        <is>
          <t>Permission</t>
        </is>
      </c>
      <c r="F54" s="12" t="inlineStr">
        <is>
          <t>Logged in as a non-admin (nurse/doctor); Bangalore patient with UHID open.</t>
        </is>
      </c>
      <c r="G54" s="12" t="inlineStr">
        <is>
          <t>1. Inspect the area next to the UHID chip</t>
        </is>
      </c>
      <c r="H54" s="12" t="inlineStr">
        <is>
          <t>N/A</t>
        </is>
      </c>
      <c r="I54" s="12" t="inlineStr">
        <is>
          <t>The Refresh/regenerate icon is not rendered for non-admins. If the endpoint is called directly it returns 403.</t>
        </is>
      </c>
      <c r="J54" s="12" t="inlineStr">
        <is>
          <t>POST /api/patients/:id/regenerate-uhid</t>
        </is>
      </c>
      <c r="K54" s="14" t="inlineStr"/>
      <c r="L54" s="15" t="inlineStr">
        <is>
          <t>Not Executed</t>
        </is>
      </c>
      <c r="M54" s="15" t="inlineStr"/>
      <c r="N54" s="15" t="inlineStr"/>
      <c r="O54" s="15" t="inlineStr"/>
      <c r="P54" s="14" t="inlineStr"/>
    </row>
    <row r="55" ht="60" customHeight="1">
      <c r="A55" s="16" t="inlineStr">
        <is>
          <t>PAT-054</t>
        </is>
      </c>
      <c r="B55" s="17" t="inlineStr">
        <is>
          <t>Patient Detail - UHID Regenerate Guard</t>
        </is>
      </c>
      <c r="C55" s="17" t="inlineStr">
        <is>
          <t>Regenerate UHID blocked for non-Bangalore / no-zone patients</t>
        </is>
      </c>
      <c r="D55" s="18" t="inlineStr">
        <is>
          <t>Medium</t>
        </is>
      </c>
      <c r="E55" s="17" t="inlineStr">
        <is>
          <t>Negative</t>
        </is>
      </c>
      <c r="F55" s="17" t="inlineStr">
        <is>
          <t>Admin logged in; patient is non-Bangalore (no zone).</t>
        </is>
      </c>
      <c r="G55" s="17" t="inlineStr">
        <is>
          <t>1. Confirm the regenerate icon is hidden for this patient
2. (API) call POST /api/patients/:id/regenerate-uhid for this patient</t>
        </is>
      </c>
      <c r="H55" s="17" t="inlineStr">
        <is>
          <t>N/A</t>
        </is>
      </c>
      <c r="I55" s="17" t="inlineStr">
        <is>
          <t>The icon only shows for is_bangalore_resident with geographic_cluster. The API returns 400 'cannot_regenerate_uhid' with the explanation message.</t>
        </is>
      </c>
      <c r="J55" s="17" t="inlineStr">
        <is>
          <t>POST /api/patients/:id/regenerate-uhid</t>
        </is>
      </c>
      <c r="K55" s="14" t="inlineStr"/>
      <c r="L55" s="15" t="inlineStr">
        <is>
          <t>Not Executed</t>
        </is>
      </c>
      <c r="M55" s="15" t="inlineStr"/>
      <c r="N55" s="15" t="inlineStr"/>
      <c r="O55" s="15" t="inlineStr"/>
      <c r="P55" s="14" t="inlineStr"/>
    </row>
    <row r="56" ht="60" customHeight="1">
      <c r="A56" s="11" t="inlineStr">
        <is>
          <t>PAT-055</t>
        </is>
      </c>
      <c r="B56" s="12" t="inlineStr">
        <is>
          <t>Patient Detail - Tab Navigation</t>
        </is>
      </c>
      <c r="C56" s="12" t="inlineStr">
        <is>
          <t>Switching tabs loads the correct content and resets selected visit</t>
        </is>
      </c>
      <c r="D56" s="19" t="inlineStr">
        <is>
          <t>Medium</t>
        </is>
      </c>
      <c r="E56" s="12" t="inlineStr">
        <is>
          <t>Functional</t>
        </is>
      </c>
      <c r="F56" s="12" t="inlineStr">
        <is>
          <t>Patient open.</t>
        </is>
      </c>
      <c r="G56" s="12" t="inlineStr">
        <is>
          <t>1. Click Visits, open a visit, then click Overview
2. Click Trends then Past Records</t>
        </is>
      </c>
      <c r="H56" s="12" t="inlineStr">
        <is>
          <t>N/A</t>
        </is>
      </c>
      <c r="I56" s="12" t="inlineStr">
        <is>
          <t>Each tab renders its component (Overview/Visits/Trends/PastRecords). Changing tabs resets any selected visit so Visits returns to the list, not a stale detail view.</t>
        </is>
      </c>
      <c r="J56" s="12" t="inlineStr">
        <is>
          <t>N/A</t>
        </is>
      </c>
      <c r="K56" s="14" t="inlineStr"/>
      <c r="L56" s="15" t="inlineStr">
        <is>
          <t>Not Executed</t>
        </is>
      </c>
      <c r="M56" s="15" t="inlineStr"/>
      <c r="N56" s="15" t="inlineStr"/>
      <c r="O56" s="15" t="inlineStr"/>
      <c r="P56" s="14" t="inlineStr"/>
    </row>
    <row r="57" ht="90" customHeight="1">
      <c r="A57" s="16" t="inlineStr">
        <is>
          <t>PAT-056</t>
        </is>
      </c>
      <c r="B57" s="17" t="inlineStr">
        <is>
          <t>Overview Tab - Demographics &amp; Clinical Status</t>
        </is>
      </c>
      <c r="C57" s="17" t="inlineStr">
        <is>
          <t>Overview shows demographics, clinical status chips and system info</t>
        </is>
      </c>
      <c r="D57" s="18" t="inlineStr">
        <is>
          <t>Medium</t>
        </is>
      </c>
      <c r="E57" s="17" t="inlineStr">
        <is>
          <t>Functional</t>
        </is>
      </c>
      <c r="F57" s="17" t="inlineStr">
        <is>
          <t>Patient with category, zone, UHID and submissions open.</t>
        </is>
      </c>
      <c r="G57" s="17" t="inlineStr">
        <is>
          <t>1. On the Overview tab inspect Demographics, Clinical Status and System Information panels</t>
        </is>
      </c>
      <c r="H57" s="17" t="inlineStr">
        <is>
          <t>N/A</t>
        </is>
      </c>
      <c r="I57" s="17" t="inlineStr">
        <is>
          <t>Demographics shows name/gender/age/DOB/contact/address/diagnosis/referred from. Clinical Status shows BSC/Onco/Priority/Zone/Homecare/UHID/Hospital UHID/ABHA chips as applicable. System Info shows ABHA address, registered date and submission count.</t>
        </is>
      </c>
      <c r="J57" s="17" t="inlineStr">
        <is>
          <t>GET /api/patients/:id</t>
        </is>
      </c>
      <c r="K57" s="14" t="inlineStr"/>
      <c r="L57" s="15" t="inlineStr">
        <is>
          <t>Not Executed</t>
        </is>
      </c>
      <c r="M57" s="15" t="inlineStr"/>
      <c r="N57" s="15" t="inlineStr"/>
      <c r="O57" s="15" t="inlineStr"/>
      <c r="P57" s="14" t="inlineStr"/>
    </row>
    <row r="58" ht="75" customHeight="1">
      <c r="A58" s="11" t="inlineStr">
        <is>
          <t>PAT-057</t>
        </is>
      </c>
      <c r="B58" s="12" t="inlineStr">
        <is>
          <t>Overview Tab - Patient Category Save</t>
        </is>
      </c>
      <c r="C58" s="12" t="inlineStr">
        <is>
          <t>Set/confirm Patient Category &amp; Priority from Overview</t>
        </is>
      </c>
      <c r="D58" s="13" t="inlineStr">
        <is>
          <t>High</t>
        </is>
      </c>
      <c r="E58" s="12" t="inlineStr">
        <is>
          <t>Functional</t>
        </is>
      </c>
      <c r="F58" s="12" t="inlineStr">
        <is>
          <t>Patient with category 'Not Yet Determined' open.</t>
        </is>
      </c>
      <c r="G58" s="12" t="inlineStr">
        <is>
          <t>1. Scroll to 'Patient Category &amp; Priority' (highlighted when unset)
2. Select BSC Non-Onco and Priority Medium, click Save</t>
        </is>
      </c>
      <c r="H58" s="12" t="inlineStr">
        <is>
          <t>Category=BSC Non-Onco, Priority=medium</t>
        </is>
      </c>
      <c r="I58" s="12" t="inlineStr">
        <is>
          <t>PUT /api/patients/:id sends bsc_status=true,is_onco=false,clinical_complexity=medium. Button shows 'Saved' for ~2s. Header/Clinical Status chips reflect the change after refresh.</t>
        </is>
      </c>
      <c r="J58" s="12" t="inlineStr">
        <is>
          <t>PUT /api/patients/:id</t>
        </is>
      </c>
      <c r="K58" s="14" t="inlineStr"/>
      <c r="L58" s="15" t="inlineStr">
        <is>
          <t>Not Executed</t>
        </is>
      </c>
      <c r="M58" s="15" t="inlineStr"/>
      <c r="N58" s="15" t="inlineStr"/>
      <c r="O58" s="15" t="inlineStr"/>
      <c r="P58" s="14" t="inlineStr"/>
    </row>
    <row r="59" ht="45" customHeight="1">
      <c r="A59" s="16" t="inlineStr">
        <is>
          <t>PAT-058</t>
        </is>
      </c>
      <c r="B59" s="17" t="inlineStr">
        <is>
          <t>Overview Tab - Patient Category Validation</t>
        </is>
      </c>
      <c r="C59" s="17" t="inlineStr">
        <is>
          <t>Saving Patient Category without a category selected is blocked</t>
        </is>
      </c>
      <c r="D59" s="22" t="inlineStr">
        <is>
          <t>Low</t>
        </is>
      </c>
      <c r="E59" s="17" t="inlineStr">
        <is>
          <t>Validation</t>
        </is>
      </c>
      <c r="F59" s="17" t="inlineStr">
        <is>
          <t>Category dropdown left blank.</t>
        </is>
      </c>
      <c r="G59" s="17" t="inlineStr">
        <is>
          <t>1. Leave category unselected, click Save</t>
        </is>
      </c>
      <c r="H59" s="17" t="inlineStr">
        <is>
          <t>N/A</t>
        </is>
      </c>
      <c r="I59" s="17" t="inlineStr">
        <is>
          <t>Alert 'Please select a patient category'; no PUT call made.</t>
        </is>
      </c>
      <c r="J59" s="17" t="inlineStr">
        <is>
          <t>N/A</t>
        </is>
      </c>
      <c r="K59" s="14" t="inlineStr"/>
      <c r="L59" s="15" t="inlineStr">
        <is>
          <t>Not Executed</t>
        </is>
      </c>
      <c r="M59" s="15" t="inlineStr"/>
      <c r="N59" s="15" t="inlineStr"/>
      <c r="O59" s="15" t="inlineStr"/>
      <c r="P59" s="14" t="inlineStr"/>
    </row>
    <row r="60" ht="75" customHeight="1">
      <c r="A60" s="11" t="inlineStr">
        <is>
          <t>PAT-059</t>
        </is>
      </c>
      <c r="B60" s="12" t="inlineStr">
        <is>
          <t>Overview Tab - Universal PPS Card</t>
        </is>
      </c>
      <c r="C60" s="12" t="inlineStr">
        <is>
          <t>Record a patient-level PPS score and verify derived priority</t>
        </is>
      </c>
      <c r="D60" s="13" t="inlineStr">
        <is>
          <t>High</t>
        </is>
      </c>
      <c r="E60" s="12" t="inlineStr">
        <is>
          <t>Functional</t>
        </is>
      </c>
      <c r="F60" s="12" t="inlineStr">
        <is>
          <t>Patient open; no PPS recorded yet.</t>
        </is>
      </c>
      <c r="G60" s="12" t="inlineStr">
        <is>
          <t>1. In the PPS card click 'Record PPS'
2. Click the PPS 30% row, add a note, click Save PPS</t>
        </is>
      </c>
      <c r="H60" s="12" t="inlineStr">
        <is>
          <t>PPS=30, notes='Bed bound, total care'</t>
        </is>
      </c>
      <c r="I60" s="12" t="inlineStr">
        <is>
          <t>POST /api/patients/:id/pps returns 201; card shows '30%' and Derived Priority 'High' (0-40 High). clinical_complexity updates everywhere (header chip, edit screen). onSaved refreshes the patient.</t>
        </is>
      </c>
      <c r="J60" s="12" t="inlineStr">
        <is>
          <t>POST /api/patients/:id/pps</t>
        </is>
      </c>
      <c r="K60" s="14" t="inlineStr"/>
      <c r="L60" s="15" t="inlineStr">
        <is>
          <t>Not Executed</t>
        </is>
      </c>
      <c r="M60" s="15" t="inlineStr"/>
      <c r="N60" s="15" t="inlineStr"/>
      <c r="O60" s="15" t="inlineStr"/>
      <c r="P60" s="14" t="inlineStr"/>
    </row>
    <row r="61" ht="45" customHeight="1">
      <c r="A61" s="16" t="inlineStr">
        <is>
          <t>PAT-060</t>
        </is>
      </c>
      <c r="B61" s="17" t="inlineStr">
        <is>
          <t>Overview Tab - PPS Priority Mapping</t>
        </is>
      </c>
      <c r="C61" s="17" t="inlineStr">
        <is>
          <t>PPS-to-priority mapping is correct across bands</t>
        </is>
      </c>
      <c r="D61" s="18" t="inlineStr">
        <is>
          <t>Medium</t>
        </is>
      </c>
      <c r="E61" s="17" t="inlineStr">
        <is>
          <t>Functional</t>
        </is>
      </c>
      <c r="F61" s="17" t="inlineStr">
        <is>
          <t>Patient open.</t>
        </is>
      </c>
      <c r="G61" s="17" t="inlineStr">
        <is>
          <t>1. Record PPS 80 and check derived priority
2. Record PPS 60 and check
3. Record PPS 40 and check</t>
        </is>
      </c>
      <c r="H61" s="17" t="inlineStr">
        <is>
          <t>80 / 60 / 40</t>
        </is>
      </c>
      <c r="I61" s="17" t="inlineStr">
        <is>
          <t>80 -&gt; Low (80-100), 60 -&gt; Medium (50-70), 40 -&gt; High (0-40). Each save updates the card and patient clinical_complexity.</t>
        </is>
      </c>
      <c r="J61" s="17" t="inlineStr">
        <is>
          <t>POST /api/patients/:id/pps</t>
        </is>
      </c>
      <c r="K61" s="14" t="inlineStr"/>
      <c r="L61" s="15" t="inlineStr">
        <is>
          <t>Not Executed</t>
        </is>
      </c>
      <c r="M61" s="15" t="inlineStr"/>
      <c r="N61" s="15" t="inlineStr"/>
      <c r="O61" s="15" t="inlineStr"/>
      <c r="P61" s="14" t="inlineStr"/>
    </row>
    <row r="62" ht="60" customHeight="1">
      <c r="A62" s="11" t="inlineStr">
        <is>
          <t>PAT-061</t>
        </is>
      </c>
      <c r="B62" s="12" t="inlineStr">
        <is>
          <t>Overview Tab - PPS Default by Priority</t>
        </is>
      </c>
      <c r="C62" s="12" t="inlineStr">
        <is>
          <t>PPS dialog pre-selects a row based on existing priority when no PPS exists</t>
        </is>
      </c>
      <c r="D62" s="20" t="inlineStr">
        <is>
          <t>Low</t>
        </is>
      </c>
      <c r="E62" s="12" t="inlineStr">
        <is>
          <t>Functional</t>
        </is>
      </c>
      <c r="F62" s="12" t="inlineStr">
        <is>
          <t>Patient with clinical_complexity set (e.g. high) but no PPS recorded.</t>
        </is>
      </c>
      <c r="G62" s="12" t="inlineStr">
        <is>
          <t>1. Open the Record PPS dialog and observe the pre-selected row and the info hint</t>
        </is>
      </c>
      <c r="H62" s="12" t="inlineStr">
        <is>
          <t>Priority=high</t>
        </is>
      </c>
      <c r="I62" s="12" t="inlineStr">
        <is>
          <t>The top of the priority band is pre-selected (high-&gt;40) and an info banner explains it was pre-selected from priority. The user can pick any other row before saving.</t>
        </is>
      </c>
      <c r="J62" s="12" t="inlineStr">
        <is>
          <t>N/A</t>
        </is>
      </c>
      <c r="K62" s="14" t="inlineStr"/>
      <c r="L62" s="15" t="inlineStr">
        <is>
          <t>Not Executed</t>
        </is>
      </c>
      <c r="M62" s="15" t="inlineStr"/>
      <c r="N62" s="15" t="inlineStr"/>
      <c r="O62" s="15" t="inlineStr"/>
      <c r="P62" s="14" t="inlineStr"/>
    </row>
    <row r="63" ht="75" customHeight="1">
      <c r="A63" s="16" t="inlineStr">
        <is>
          <t>PAT-062</t>
        </is>
      </c>
      <c r="B63" s="17" t="inlineStr">
        <is>
          <t>Overview Tab - Care Circle</t>
        </is>
      </c>
      <c r="C63" s="17" t="inlineStr">
        <is>
          <t>Save and re-load Primary Caregiver and Decision Maker</t>
        </is>
      </c>
      <c r="D63" s="18" t="inlineStr">
        <is>
          <t>Medium</t>
        </is>
      </c>
      <c r="E63" s="17" t="inlineStr">
        <is>
          <t>Functional</t>
        </is>
      </c>
      <c r="F63" s="17" t="inlineStr">
        <is>
          <t>Patient open.</t>
        </is>
      </c>
      <c r="G63" s="17" t="inlineStr">
        <is>
          <t>1. In Care Circle enter caregiver name/relationship/phone and decision maker name/designation/phone
2. Click Save, then refresh the page</t>
        </is>
      </c>
      <c r="H63" s="17" t="inlineStr">
        <is>
          <t>Caregiver: Ravi / Son / 9123456780; Decision Maker: Dr. Ashwini / Oncologist / 9988776655</t>
        </is>
      </c>
      <c r="I63" s="17" t="inlineStr">
        <is>
          <t>PUT /api/patients/:id persists the six fields. Save button is disabled until a field changes (dirty) and shows 'Saved' afterward. Values persist on reload and prefill the Edit screen.</t>
        </is>
      </c>
      <c r="J63" s="17" t="inlineStr">
        <is>
          <t>PUT /api/patients/:id</t>
        </is>
      </c>
      <c r="K63" s="14" t="inlineStr"/>
      <c r="L63" s="15" t="inlineStr">
        <is>
          <t>Not Executed</t>
        </is>
      </c>
      <c r="M63" s="15" t="inlineStr"/>
      <c r="N63" s="15" t="inlineStr"/>
      <c r="O63" s="15" t="inlineStr"/>
      <c r="P63" s="14" t="inlineStr"/>
    </row>
    <row r="64" ht="60" customHeight="1">
      <c r="A64" s="11" t="inlineStr">
        <is>
          <t>PAT-063</t>
        </is>
      </c>
      <c r="B64" s="12" t="inlineStr">
        <is>
          <t>Overview Tab - Body Map Free-Click</t>
        </is>
      </c>
      <c r="C64" s="12" t="inlineStr">
        <is>
          <t>Drop a red dot marker on the body map and save a note</t>
        </is>
      </c>
      <c r="D64" s="19" t="inlineStr">
        <is>
          <t>Medium</t>
        </is>
      </c>
      <c r="E64" s="12" t="inlineStr">
        <is>
          <t>Functional</t>
        </is>
      </c>
      <c r="F64" s="12" t="inlineStr">
        <is>
          <t>Patient with an initial visit so the body map renders.</t>
        </is>
      </c>
      <c r="G64" s="12" t="inlineStr">
        <is>
          <t>1. Select the Dot tool, click a spot on the Front view
2. Type a finding e.g. 'Tender mass RUQ' and Save</t>
        </is>
      </c>
      <c r="H64" s="12" t="inlineStr">
        <is>
          <t>Tender mass RUQ</t>
        </is>
      </c>
      <c r="I64" s="12" t="inlineStr">
        <is>
          <t>A red dot + label appears; the annotation persists via PUT/save to doctor_assessment body_map_annotations (saveAssessment 'doctor'). Reloading shows the marker.</t>
        </is>
      </c>
      <c r="J64" s="12" t="inlineStr">
        <is>
          <t>N/A (saranam saveAssessment)</t>
        </is>
      </c>
      <c r="K64" s="14" t="inlineStr"/>
      <c r="L64" s="15" t="inlineStr">
        <is>
          <t>Not Executed</t>
        </is>
      </c>
      <c r="M64" s="15" t="inlineStr"/>
      <c r="N64" s="15" t="inlineStr"/>
      <c r="O64" s="15" t="inlineStr"/>
      <c r="P64" s="14" t="inlineStr"/>
    </row>
    <row r="65" ht="60" customHeight="1">
      <c r="A65" s="16" t="inlineStr">
        <is>
          <t>PAT-064</t>
        </is>
      </c>
      <c r="B65" s="17" t="inlineStr">
        <is>
          <t>Overview Tab - Body Map Shapes &amp; Edit</t>
        </is>
      </c>
      <c r="C65" s="17" t="inlineStr">
        <is>
          <t>Draw rectangle/ellipse, edit and delete a marker</t>
        </is>
      </c>
      <c r="D65" s="22" t="inlineStr">
        <is>
          <t>Low</t>
        </is>
      </c>
      <c r="E65" s="17" t="inlineStr">
        <is>
          <t>Functional</t>
        </is>
      </c>
      <c r="F65" s="17" t="inlineStr">
        <is>
          <t>Body map editable.</t>
        </is>
      </c>
      <c r="G65" s="17" t="inlineStr">
        <is>
          <t>1. Select Rectangle, drag to draw an area, add text, Save
2. Click the marker label, edit text, Save
3. Click again and Delete</t>
        </is>
      </c>
      <c r="H65" s="17" t="inlineStr">
        <is>
          <t>N/A</t>
        </is>
      </c>
      <c r="I65" s="17" t="inlineStr">
        <is>
          <t>Rectangle/ellipse render in red; editing updates the label; deleting removes it. Each operation persists and survives reload. Empty note text disables Save.</t>
        </is>
      </c>
      <c r="J65" s="17" t="inlineStr">
        <is>
          <t>N/A (saranam saveAssessment)</t>
        </is>
      </c>
      <c r="K65" s="14" t="inlineStr"/>
      <c r="L65" s="15" t="inlineStr">
        <is>
          <t>Not Executed</t>
        </is>
      </c>
      <c r="M65" s="15" t="inlineStr"/>
      <c r="N65" s="15" t="inlineStr"/>
      <c r="O65" s="15" t="inlineStr"/>
      <c r="P65" s="14" t="inlineStr"/>
    </row>
    <row r="66" ht="75" customHeight="1">
      <c r="A66" s="11" t="inlineStr">
        <is>
          <t>PAT-065</t>
        </is>
      </c>
      <c r="B66" s="12" t="inlineStr">
        <is>
          <t>Overview Tab - Body Map Clear</t>
        </is>
      </c>
      <c r="C66" s="12" t="inlineStr">
        <is>
          <t>Clear AI suggestions and Clear entire body map confirm dialogs</t>
        </is>
      </c>
      <c r="D66" s="20" t="inlineStr">
        <is>
          <t>Low</t>
        </is>
      </c>
      <c r="E66" s="12" t="inlineStr">
        <is>
          <t>Functional</t>
        </is>
      </c>
      <c r="F66" s="12" t="inlineStr">
        <is>
          <t>Body map has both user notes and AI highlights.</t>
        </is>
      </c>
      <c r="G66" s="12" t="inlineStr">
        <is>
          <t>1. Click 'Clear AI suggestions' and confirm
2. Add notes again, click 'Clear entire body map' and confirm</t>
        </is>
      </c>
      <c r="H66" s="12" t="inlineStr">
        <is>
          <t>N/A</t>
        </is>
      </c>
      <c r="I66" s="12" t="inlineStr">
        <is>
          <t>Each shows a window.confirm; confirming removes AI-only (first) or both layers (second). Cancelling leaves markers intact. Buttons are disabled when there is nothing to clear.</t>
        </is>
      </c>
      <c r="J66" s="12" t="inlineStr">
        <is>
          <t>N/A (saranam savePatientSummary / saveAssessment)</t>
        </is>
      </c>
      <c r="K66" s="14" t="inlineStr"/>
      <c r="L66" s="15" t="inlineStr">
        <is>
          <t>Not Executed</t>
        </is>
      </c>
      <c r="M66" s="15" t="inlineStr"/>
      <c r="N66" s="15" t="inlineStr"/>
      <c r="O66" s="15" t="inlineStr"/>
      <c r="P66" s="14" t="inlineStr"/>
    </row>
    <row r="67" ht="60" customHeight="1">
      <c r="A67" s="16" t="inlineStr">
        <is>
          <t>PAT-066</t>
        </is>
      </c>
      <c r="B67" s="17" t="inlineStr">
        <is>
          <t>Overview Tab - Body Map Visit Selector</t>
        </is>
      </c>
      <c r="C67" s="17" t="inlineStr">
        <is>
          <t>Body map 'View' selector shows historical visit highlights read-only</t>
        </is>
      </c>
      <c r="D67" s="22" t="inlineStr">
        <is>
          <t>Low</t>
        </is>
      </c>
      <c r="E67" s="17" t="inlineStr">
        <is>
          <t>Functional</t>
        </is>
      </c>
      <c r="F67" s="17" t="inlineStr">
        <is>
          <t>Patient with at least one follow-up summary containing body_locations.</t>
        </is>
      </c>
      <c r="G67" s="17" t="inlineStr">
        <is>
          <t>1. Open the body map 'View' dropdown
2. Select a follow-up visit entry</t>
        </is>
      </c>
      <c r="H67" s="17" t="inlineStr">
        <is>
          <t>N/A</t>
        </is>
      </c>
      <c r="I67" s="17" t="inlineStr">
        <is>
          <t>Selecting a visit renders that visit's AI highlights read-only (no editing tools); the caption notes 'read-only'. Selecting 'Baseline (editable)' restores edit mode.</t>
        </is>
      </c>
      <c r="J67" s="17" t="inlineStr">
        <is>
          <t>N/A (saranam listFollowupSummaries)</t>
        </is>
      </c>
      <c r="K67" s="14" t="inlineStr"/>
      <c r="L67" s="15" t="inlineStr">
        <is>
          <t>Not Executed</t>
        </is>
      </c>
      <c r="M67" s="15" t="inlineStr"/>
      <c r="N67" s="15" t="inlineStr"/>
      <c r="O67" s="15" t="inlineStr"/>
      <c r="P67" s="14" t="inlineStr"/>
    </row>
    <row r="68" ht="105" customHeight="1">
      <c r="A68" s="11" t="inlineStr">
        <is>
          <t>PAT-067</t>
        </is>
      </c>
      <c r="B68" s="12" t="inlineStr">
        <is>
          <t>Overview Tab - AI Patient Summary</t>
        </is>
      </c>
      <c r="C68" s="12" t="inlineStr">
        <is>
          <t>Generate, edit, save and download the AI patient summary</t>
        </is>
      </c>
      <c r="D68" s="19" t="inlineStr">
        <is>
          <t>Medium</t>
        </is>
      </c>
      <c r="E68" s="12" t="inlineStr">
        <is>
          <t>Functional</t>
        </is>
      </c>
      <c r="F68" s="12" t="inlineStr">
        <is>
          <t>Patient with saved assessments open.</t>
        </is>
      </c>
      <c r="G68" s="12" t="inlineStr">
        <is>
          <t>1. Click 'Generate Patient Summary'
2. Edit the Nursing/Psychosocial/Physiotherapy blocks
3. Click Save, then Download PDF</t>
        </is>
      </c>
      <c r="H68" s="12" t="inlineStr">
        <is>
          <t>N/A</t>
        </is>
      </c>
      <c r="I68" s="12" t="inlineStr">
        <is>
          <t>Generate fills the three narrative blocks (deterministic demographics/scores unchanged); Save persists summary_blocks + body_locations; a 'Saved.' alert and 'Last saved &lt;time&gt;' show. Download PDF triggers a file download. Save is disabled when all blocks are empty.</t>
        </is>
      </c>
      <c r="J68" s="12" t="inlineStr">
        <is>
          <t>N/A (saranam generate/savePatientSummary)</t>
        </is>
      </c>
      <c r="K68" s="14" t="inlineStr"/>
      <c r="L68" s="15" t="inlineStr">
        <is>
          <t>Not Executed</t>
        </is>
      </c>
      <c r="M68" s="15" t="inlineStr"/>
      <c r="N68" s="15" t="inlineStr"/>
      <c r="O68" s="15" t="inlineStr"/>
      <c r="P68" s="14" t="inlineStr"/>
    </row>
    <row r="69" ht="60" customHeight="1">
      <c r="A69" s="16" t="inlineStr">
        <is>
          <t>PAT-068</t>
        </is>
      </c>
      <c r="B69" s="17" t="inlineStr">
        <is>
          <t>Overview Tab - AI Summary Overwrite Guard</t>
        </is>
      </c>
      <c r="C69" s="17" t="inlineStr">
        <is>
          <t>Regenerating with unsaved edits prompts an overwrite confirmation</t>
        </is>
      </c>
      <c r="D69" s="22" t="inlineStr">
        <is>
          <t>Low</t>
        </is>
      </c>
      <c r="E69" s="17" t="inlineStr">
        <is>
          <t>Negative</t>
        </is>
      </c>
      <c r="F69" s="17" t="inlineStr">
        <is>
          <t>Summary generated and edited but not saved.</t>
        </is>
      </c>
      <c r="G69" s="17" t="inlineStr">
        <is>
          <t>1. Edit a block without saving
2. Click 'Generate Patient Summary' again</t>
        </is>
      </c>
      <c r="H69" s="17" t="inlineStr">
        <is>
          <t>N/A</t>
        </is>
      </c>
      <c r="I69" s="17" t="inlineStr">
        <is>
          <t>A dialog 'Regenerate and overwrite your edits?' appears; Cancel keeps the edits, 'Overwrite &amp; Generate' replaces them with a fresh draft.</t>
        </is>
      </c>
      <c r="J69" s="17" t="inlineStr">
        <is>
          <t>N/A (saranam generatePatientSummary)</t>
        </is>
      </c>
      <c r="K69" s="14" t="inlineStr"/>
      <c r="L69" s="15" t="inlineStr">
        <is>
          <t>Not Executed</t>
        </is>
      </c>
      <c r="M69" s="15" t="inlineStr"/>
      <c r="N69" s="15" t="inlineStr"/>
      <c r="O69" s="15" t="inlineStr"/>
      <c r="P69" s="14" t="inlineStr"/>
    </row>
    <row r="70" ht="75" customHeight="1">
      <c r="A70" s="11" t="inlineStr">
        <is>
          <t>PAT-069</t>
        </is>
      </c>
      <c r="B70" s="12" t="inlineStr">
        <is>
          <t>Overview Tab - Follow-up Summary History</t>
        </is>
      </c>
      <c r="C70" s="12" t="inlineStr">
        <is>
          <t>Latest Patient Health + Past Records follow-up summaries render</t>
        </is>
      </c>
      <c r="D70" s="19" t="inlineStr">
        <is>
          <t>Medium</t>
        </is>
      </c>
      <c r="E70" s="12" t="inlineStr">
        <is>
          <t>Functional</t>
        </is>
      </c>
      <c r="F70" s="12" t="inlineStr">
        <is>
          <t>Patient with &gt;=2 saved follow-up summaries.</t>
        </is>
      </c>
      <c r="G70" s="12" t="inlineStr">
        <is>
          <t>1. View 'Latest Patient Health' card
2. Expand 'Past Records' (Show all)</t>
        </is>
      </c>
      <c r="H70" s="12" t="inlineStr">
        <is>
          <t>N/A</t>
        </is>
      </c>
      <c r="I70" s="12" t="inlineStr">
        <is>
          <t>Latest card shows the newest follow-up summary text with visit number/date. Past Records lists all summaries newest-first with a count chip; expand/collapse works. When none exist, friendly placeholders show.</t>
        </is>
      </c>
      <c r="J70" s="12" t="inlineStr">
        <is>
          <t>N/A (saranam listFollowupSummaries)</t>
        </is>
      </c>
      <c r="K70" s="14" t="inlineStr"/>
      <c r="L70" s="15" t="inlineStr">
        <is>
          <t>Not Executed</t>
        </is>
      </c>
      <c r="M70" s="15" t="inlineStr"/>
      <c r="N70" s="15" t="inlineStr"/>
      <c r="O70" s="15" t="inlineStr"/>
      <c r="P70" s="14" t="inlineStr"/>
    </row>
    <row r="71" ht="60" customHeight="1">
      <c r="A71" s="16" t="inlineStr">
        <is>
          <t>PAT-070</t>
        </is>
      </c>
      <c r="B71" s="17" t="inlineStr">
        <is>
          <t>Overview Tab - Nursing Assessment</t>
        </is>
      </c>
      <c r="C71" s="17" t="inlineStr">
        <is>
          <t>Fill, save and reload Nursing Assessment (toggles, pain slider, devices)</t>
        </is>
      </c>
      <c r="D71" s="21" t="inlineStr">
        <is>
          <t>High</t>
        </is>
      </c>
      <c r="E71" s="17" t="inlineStr">
        <is>
          <t>Functional</t>
        </is>
      </c>
      <c r="F71" s="17" t="inlineStr">
        <is>
          <t>Patient with an initial visit; Nursing accordion expanded.</t>
        </is>
      </c>
      <c r="G71" s="17" t="inlineStr">
        <is>
          <t>1. Set State=Conscious, ADL=Independent, Pain slider=6, tick Urinary Catheter
2. Enter wound/bowel/bladder text and Save
3. Collapse and reopen the accordion / reload</t>
        </is>
      </c>
      <c r="H71" s="17" t="inlineStr">
        <is>
          <t>Pain=6, Urinary Catheter=on, wound='2cm sacral'</t>
        </is>
      </c>
      <c r="I71" s="17" t="inlineStr">
        <is>
          <t>saveAssessment 'nursing' succeeds; accordion status chip flips to 'Saved'. Reloading restores all values including the pain score and device checkboxes.</t>
        </is>
      </c>
      <c r="J71" s="17" t="inlineStr">
        <is>
          <t>N/A (saranam saveAssessment 'nursing')</t>
        </is>
      </c>
      <c r="K71" s="14" t="inlineStr"/>
      <c r="L71" s="15" t="inlineStr">
        <is>
          <t>Not Executed</t>
        </is>
      </c>
      <c r="M71" s="15" t="inlineStr"/>
      <c r="N71" s="15" t="inlineStr"/>
      <c r="O71" s="15" t="inlineStr"/>
      <c r="P71" s="14" t="inlineStr"/>
    </row>
    <row r="72" ht="60" customHeight="1">
      <c r="A72" s="11" t="inlineStr">
        <is>
          <t>PAT-071</t>
        </is>
      </c>
      <c r="B72" s="12" t="inlineStr">
        <is>
          <t>Overview Tab - Nursing AI Summary Guard</t>
        </is>
      </c>
      <c r="C72" s="12" t="inlineStr">
        <is>
          <t>Nursing auto-generate summary requires a saved record first</t>
        </is>
      </c>
      <c r="D72" s="20" t="inlineStr">
        <is>
          <t>Low</t>
        </is>
      </c>
      <c r="E72" s="12" t="inlineStr">
        <is>
          <t>Negative</t>
        </is>
      </c>
      <c r="F72" s="12" t="inlineStr">
        <is>
          <t>Nursing form open but never saved.</t>
        </is>
      </c>
      <c r="G72" s="12" t="inlineStr">
        <is>
          <t>1. Click 'Generate from assessment' before saving</t>
        </is>
      </c>
      <c r="H72" s="12" t="inlineStr">
        <is>
          <t>N/A</t>
        </is>
      </c>
      <c r="I72" s="12" t="inlineStr">
        <is>
          <t>Alert 'Save the assessment first — the AI summary reads the saved record.' and the button is disabled until hasSavedRow is true.</t>
        </is>
      </c>
      <c r="J72" s="12" t="inlineStr">
        <is>
          <t>N/A (saranam generateAssessmentSummary)</t>
        </is>
      </c>
      <c r="K72" s="14" t="inlineStr"/>
      <c r="L72" s="15" t="inlineStr">
        <is>
          <t>Not Executed</t>
        </is>
      </c>
      <c r="M72" s="15" t="inlineStr"/>
      <c r="N72" s="15" t="inlineStr"/>
      <c r="O72" s="15" t="inlineStr"/>
      <c r="P72" s="14" t="inlineStr"/>
    </row>
    <row r="73" ht="75" customHeight="1">
      <c r="A73" s="16" t="inlineStr">
        <is>
          <t>PAT-072</t>
        </is>
      </c>
      <c r="B73" s="17" t="inlineStr">
        <is>
          <t>Overview Tab - Doctor Assessment</t>
        </is>
      </c>
      <c r="C73" s="17" t="inlineStr">
        <is>
          <t>Fill ICD diagnosis rows + clinical history and save Doctor Assessment</t>
        </is>
      </c>
      <c r="D73" s="21" t="inlineStr">
        <is>
          <t>High</t>
        </is>
      </c>
      <c r="E73" s="17" t="inlineStr">
        <is>
          <t>Functional</t>
        </is>
      </c>
      <c r="F73" s="17" t="inlineStr">
        <is>
          <t>Initial visit; Doctor accordion expanded.</t>
        </is>
      </c>
      <c r="G73" s="17" t="inlineStr">
        <is>
          <t>1. Add a diagnosis row (code C50.9, name 'Ca Breast Stage III', type Primary)
2. Fill chief complaints, HPI, systemic exam fields
3. Click Save Doctor's Assessment</t>
        </is>
      </c>
      <c r="H73" s="17" t="inlineStr">
        <is>
          <t>C50.9 / Ca Breast Stage III / Primary</t>
        </is>
      </c>
      <c r="I73" s="17" t="inlineStr">
        <is>
          <t>saveAssessment 'doctor' stores a combined diagnosis string and exam fields; status chip flips to 'Saved'; reload restores data (diagnosis parsed back into a row).</t>
        </is>
      </c>
      <c r="J73" s="17" t="inlineStr">
        <is>
          <t>N/A (saranam saveAssessment 'doctor')</t>
        </is>
      </c>
      <c r="K73" s="14" t="inlineStr"/>
      <c r="L73" s="15" t="inlineStr">
        <is>
          <t>Not Executed</t>
        </is>
      </c>
      <c r="M73" s="15" t="inlineStr"/>
      <c r="N73" s="15" t="inlineStr"/>
      <c r="O73" s="15" t="inlineStr"/>
      <c r="P73" s="14" t="inlineStr"/>
    </row>
    <row r="74" ht="75" customHeight="1">
      <c r="A74" s="11" t="inlineStr">
        <is>
          <t>PAT-073</t>
        </is>
      </c>
      <c r="B74" s="12" t="inlineStr">
        <is>
          <t>Overview Tab - ESAS-R Scores</t>
        </is>
      </c>
      <c r="C74" s="12" t="inlineStr">
        <is>
          <t>Set ESAS-R symptom sliders 0-10 and verify total + color coding</t>
        </is>
      </c>
      <c r="D74" s="13" t="inlineStr">
        <is>
          <t>High</t>
        </is>
      </c>
      <c r="E74" s="12" t="inlineStr">
        <is>
          <t>Functional</t>
        </is>
      </c>
      <c r="F74" s="12" t="inlineStr">
        <is>
          <t>Initial visit; ESAS-R accordion expanded.</t>
        </is>
      </c>
      <c r="G74" s="12" t="inlineStr">
        <is>
          <t>1. Set Pain=8, Tiredness=5, Nausea=2, others 0; add an 'Other' symptom name+score
2. Observe the total and Save</t>
        </is>
      </c>
      <c r="H74" s="12" t="inlineStr">
        <is>
          <t>Pain=8, Tiredness=5, Nausea=2, Other='Itching'=4</t>
        </is>
      </c>
      <c r="I74" s="12" t="inlineStr">
        <is>
          <t>Each slider is constrained to 0-10. Total = sum of all (incl. other) and is color-coded (&lt;=30 green, &lt;=60 yellow, else red). saveAssessment 'esas' stores total_score and all symptoms; reload restores.</t>
        </is>
      </c>
      <c r="J74" s="12" t="inlineStr">
        <is>
          <t>N/A (saranam saveAssessment 'esas')</t>
        </is>
      </c>
      <c r="K74" s="14" t="inlineStr"/>
      <c r="L74" s="15" t="inlineStr">
        <is>
          <t>Not Executed</t>
        </is>
      </c>
      <c r="M74" s="15" t="inlineStr"/>
      <c r="N74" s="15" t="inlineStr"/>
      <c r="O74" s="15" t="inlineStr"/>
      <c r="P74" s="14" t="inlineStr"/>
    </row>
    <row r="75" ht="75" customHeight="1">
      <c r="A75" s="16" t="inlineStr">
        <is>
          <t>PAT-074</t>
        </is>
      </c>
      <c r="B75" s="17" t="inlineStr">
        <is>
          <t>Overview Tab - PPS Form (Visit-scoped)</t>
        </is>
      </c>
      <c r="C75" s="17" t="inlineStr">
        <is>
          <t>Select a PPS row in the baseline PPS form and save</t>
        </is>
      </c>
      <c r="D75" s="21" t="inlineStr">
        <is>
          <t>High</t>
        </is>
      </c>
      <c r="E75" s="17" t="inlineStr">
        <is>
          <t>Functional</t>
        </is>
      </c>
      <c r="F75" s="17" t="inlineStr">
        <is>
          <t>Initial visit; PPS accordion expanded.</t>
        </is>
      </c>
      <c r="G75" s="17" t="inlineStr">
        <is>
          <t>1. Click the 70% row (shows median survival)
2. Add a note and click Save PPS Score</t>
        </is>
      </c>
      <c r="H75" s="17" t="inlineStr">
        <is>
          <t>PPS=70</t>
        </is>
      </c>
      <c r="I75" s="17" t="inlineStr">
        <is>
          <t>Selected row highlights with a color band; the header shows 'PPS 70%' and '~145 days median survival'. saveAssessment 'pps' stores the full PPS dimensions; status chip becomes 'Saved'.</t>
        </is>
      </c>
      <c r="J75" s="17" t="inlineStr">
        <is>
          <t>N/A (saranam saveAssessment 'pps')</t>
        </is>
      </c>
      <c r="K75" s="14" t="inlineStr"/>
      <c r="L75" s="15" t="inlineStr">
        <is>
          <t>Not Executed</t>
        </is>
      </c>
      <c r="M75" s="15" t="inlineStr"/>
      <c r="N75" s="15" t="inlineStr"/>
      <c r="O75" s="15" t="inlineStr"/>
      <c r="P75" s="14" t="inlineStr"/>
    </row>
    <row r="76" ht="45" customHeight="1">
      <c r="A76" s="11" t="inlineStr">
        <is>
          <t>PAT-075</t>
        </is>
      </c>
      <c r="B76" s="12" t="inlineStr">
        <is>
          <t>Overview Tab - PPS Save Validation</t>
        </is>
      </c>
      <c r="C76" s="12" t="inlineStr">
        <is>
          <t>Saving PPS form without selecting a score is blocked</t>
        </is>
      </c>
      <c r="D76" s="20" t="inlineStr">
        <is>
          <t>Low</t>
        </is>
      </c>
      <c r="E76" s="12" t="inlineStr">
        <is>
          <t>Validation</t>
        </is>
      </c>
      <c r="F76" s="12" t="inlineStr">
        <is>
          <t>Fresh PPS form, no priority default, no row selected.</t>
        </is>
      </c>
      <c r="G76" s="12" t="inlineStr">
        <is>
          <t>1. Without selecting a row, click Save PPS Score</t>
        </is>
      </c>
      <c r="H76" s="12" t="inlineStr">
        <is>
          <t>N/A</t>
        </is>
      </c>
      <c r="I76" s="12" t="inlineStr">
        <is>
          <t>Alert 'Please select a PPS score'; no save call.</t>
        </is>
      </c>
      <c r="J76" s="12" t="inlineStr">
        <is>
          <t>N/A</t>
        </is>
      </c>
      <c r="K76" s="14" t="inlineStr"/>
      <c r="L76" s="15" t="inlineStr">
        <is>
          <t>Not Executed</t>
        </is>
      </c>
      <c r="M76" s="15" t="inlineStr"/>
      <c r="N76" s="15" t="inlineStr"/>
      <c r="O76" s="15" t="inlineStr"/>
      <c r="P76" s="14" t="inlineStr"/>
    </row>
    <row r="77" ht="75" customHeight="1">
      <c r="A77" s="16" t="inlineStr">
        <is>
          <t>PAT-076</t>
        </is>
      </c>
      <c r="B77" s="17" t="inlineStr">
        <is>
          <t>Overview Tab - PPS Smart Suggestion</t>
        </is>
      </c>
      <c r="C77" s="17" t="inlineStr">
        <is>
          <t>Smart PPS suggestion generates a score with reasoning</t>
        </is>
      </c>
      <c r="D77" s="22" t="inlineStr">
        <is>
          <t>Low</t>
        </is>
      </c>
      <c r="E77" s="17" t="inlineStr">
        <is>
          <t>Functional</t>
        </is>
      </c>
      <c r="F77" s="17" t="inlineStr">
        <is>
          <t>Initial visit with nursing/doctor/ESAS data saved.</t>
        </is>
      </c>
      <c r="G77" s="17" t="inlineStr">
        <is>
          <t>1. Click 'Suggest PPS Score'
2. Click 'Apply Score' and toggle 'Show reasoning'</t>
        </is>
      </c>
      <c r="H77" s="17" t="inlineStr">
        <is>
          <t>N/A</t>
        </is>
      </c>
      <c r="I77" s="17" t="inlineStr">
        <is>
          <t>A suggested score with a confidence badge and reasoning bullets appears; 'Apply Score' sets the table selection; reasoning expands/collapses. On failure an alert 'Failed to generate suggestion' shows.</t>
        </is>
      </c>
      <c r="J77" s="17" t="inlineStr">
        <is>
          <t>N/A (saranam suggestPps)</t>
        </is>
      </c>
      <c r="K77" s="14" t="inlineStr"/>
      <c r="L77" s="15" t="inlineStr">
        <is>
          <t>Not Executed</t>
        </is>
      </c>
      <c r="M77" s="15" t="inlineStr"/>
      <c r="N77" s="15" t="inlineStr"/>
      <c r="O77" s="15" t="inlineStr"/>
      <c r="P77" s="14" t="inlineStr"/>
    </row>
    <row r="78" ht="60" customHeight="1">
      <c r="A78" s="11" t="inlineStr">
        <is>
          <t>PAT-077</t>
        </is>
      </c>
      <c r="B78" s="12" t="inlineStr">
        <is>
          <t>Overview Tab - Psychological Assessment</t>
        </is>
      </c>
      <c r="C78" s="12" t="inlineStr">
        <is>
          <t>Complete Psychological Assessment incl. distress slider and Zarit</t>
        </is>
      </c>
      <c r="D78" s="19" t="inlineStr">
        <is>
          <t>Medium</t>
        </is>
      </c>
      <c r="E78" s="12" t="inlineStr">
        <is>
          <t>Functional</t>
        </is>
      </c>
      <c r="F78" s="12" t="inlineStr">
        <is>
          <t>Initial visit; Psychological accordion expanded.</t>
        </is>
      </c>
      <c r="G78" s="12" t="inlineStr">
        <is>
          <t>1. Set patient mood/sleep, tick problem categories, set distress slider
2. Answer the 4 Zarit questions and Save</t>
        </is>
      </c>
      <c r="H78" s="12" t="inlineStr">
        <is>
          <t>Distress=7, Zarit answers mixed</t>
        </is>
      </c>
      <c r="I78" s="12" t="inlineStr">
        <is>
          <t>Distress slider color-codes; Zarit total + interpretation compute; saveAssessment 'psychological' stores values; status chip 'Saved'; reload restores.</t>
        </is>
      </c>
      <c r="J78" s="12" t="inlineStr">
        <is>
          <t>N/A (saranam saveAssessment 'psychological')</t>
        </is>
      </c>
      <c r="K78" s="14" t="inlineStr"/>
      <c r="L78" s="15" t="inlineStr">
        <is>
          <t>Not Executed</t>
        </is>
      </c>
      <c r="M78" s="15" t="inlineStr"/>
      <c r="N78" s="15" t="inlineStr"/>
      <c r="O78" s="15" t="inlineStr"/>
      <c r="P78" s="14" t="inlineStr"/>
    </row>
    <row r="79" ht="45" customHeight="1">
      <c r="A79" s="16" t="inlineStr">
        <is>
          <t>PAT-078</t>
        </is>
      </c>
      <c r="B79" s="17" t="inlineStr">
        <is>
          <t>Overview Tab - Physiotherapy Assessment</t>
        </is>
      </c>
      <c r="C79" s="17" t="inlineStr">
        <is>
          <t>Complete and save Physiotherapy Assessment (pain VAS, ROM, MMT)</t>
        </is>
      </c>
      <c r="D79" s="18" t="inlineStr">
        <is>
          <t>Medium</t>
        </is>
      </c>
      <c r="E79" s="17" t="inlineStr">
        <is>
          <t>Functional</t>
        </is>
      </c>
      <c r="F79" s="17" t="inlineStr">
        <is>
          <t>Initial visit; Physiotherapy accordion expanded.</t>
        </is>
      </c>
      <c r="G79" s="17" t="inlineStr">
        <is>
          <t>1. Set pain VAS, pain area/nature, posture, ROM, MMT, balance, functional status, notes
2. Click Save</t>
        </is>
      </c>
      <c r="H79" s="17" t="inlineStr">
        <is>
          <t>Pain VAS=5, ROM='Reduced shoulder', MMT='4/5'</t>
        </is>
      </c>
      <c r="I79" s="17" t="inlineStr">
        <is>
          <t>saveAssessment 'physiotherapy' succeeds; status chip 'Saved'; data persists and appears in Past Records.</t>
        </is>
      </c>
      <c r="J79" s="17" t="inlineStr">
        <is>
          <t>N/A (saranam saveAssessment 'physiotherapy')</t>
        </is>
      </c>
      <c r="K79" s="14" t="inlineStr"/>
      <c r="L79" s="15" t="inlineStr">
        <is>
          <t>Not Executed</t>
        </is>
      </c>
      <c r="M79" s="15" t="inlineStr"/>
      <c r="N79" s="15" t="inlineStr"/>
      <c r="O79" s="15" t="inlineStr"/>
      <c r="P79" s="14" t="inlineStr"/>
    </row>
    <row r="80" ht="90" customHeight="1">
      <c r="A80" s="11" t="inlineStr">
        <is>
          <t>PAT-079</t>
        </is>
      </c>
      <c r="B80" s="12" t="inlineStr">
        <is>
          <t>Overview Tab - Plan of Care / Prescription</t>
        </is>
      </c>
      <c r="C80" s="12" t="inlineStr">
        <is>
          <t>Build a prescription, add medications and save Plan of Care</t>
        </is>
      </c>
      <c r="D80" s="13" t="inlineStr">
        <is>
          <t>High</t>
        </is>
      </c>
      <c r="E80" s="12" t="inlineStr">
        <is>
          <t>Functional</t>
        </is>
      </c>
      <c r="F80" s="12" t="inlineStr">
        <is>
          <t>Initial visit; Plan of Care accordion expanded.</t>
        </is>
      </c>
      <c r="G80" s="12" t="inlineStr">
        <is>
          <t>1. Add a medication (name/dosage/frequency/duration) in the Prescription Builder
2. Enter pharmacological + non-pharmacological notes, diagnosis text
3. Click Save Prescription then Save Plan of Care</t>
        </is>
      </c>
      <c r="H80" s="12" t="inlineStr">
        <is>
          <t>Med: Morphine 10mg BD x 7d</t>
        </is>
      </c>
      <c r="I80" s="12" t="inlineStr">
        <is>
          <t>saveAssessment 'care-plan' stores medications + notes; success alert shows; status chip 'Saved'. Data round-trips on reload.</t>
        </is>
      </c>
      <c r="J80" s="12" t="inlineStr">
        <is>
          <t>N/A (saranam saveAssessment 'care-plan')</t>
        </is>
      </c>
      <c r="K80" s="14" t="inlineStr"/>
      <c r="L80" s="15" t="inlineStr">
        <is>
          <t>Not Executed</t>
        </is>
      </c>
      <c r="M80" s="15" t="inlineStr"/>
      <c r="N80" s="15" t="inlineStr"/>
      <c r="O80" s="15" t="inlineStr"/>
      <c r="P80" s="14" t="inlineStr"/>
    </row>
    <row r="81" ht="60" customHeight="1">
      <c r="A81" s="16" t="inlineStr">
        <is>
          <t>PAT-080</t>
        </is>
      </c>
      <c r="B81" s="17" t="inlineStr">
        <is>
          <t>Overview Tab - Prescription PDF</t>
        </is>
      </c>
      <c r="C81" s="17" t="inlineStr">
        <is>
          <t>Download prescription PDF from Plan of Care</t>
        </is>
      </c>
      <c r="D81" s="22" t="inlineStr">
        <is>
          <t>Low</t>
        </is>
      </c>
      <c r="E81" s="17" t="inlineStr">
        <is>
          <t>Functional</t>
        </is>
      </c>
      <c r="F81" s="17" t="inlineStr">
        <is>
          <t>Prescription has at least one medication and doctor info filled.</t>
        </is>
      </c>
      <c r="G81" s="17" t="inlineStr">
        <is>
          <t>1. Fill doctor name/qualification/KMC number
2. Click the Download PDF action</t>
        </is>
      </c>
      <c r="H81" s="17" t="inlineStr">
        <is>
          <t>Dr. Ashwini, MD, KMC=12345</t>
        </is>
      </c>
      <c r="I81" s="17" t="inlineStr">
        <is>
          <t>A prescription PDF is generated with patient name, UHID/homecare code, medications and doctor details; failures show an alert with the error.</t>
        </is>
      </c>
      <c r="J81" s="17" t="inlineStr">
        <is>
          <t>N/A (client-side PDF)</t>
        </is>
      </c>
      <c r="K81" s="14" t="inlineStr"/>
      <c r="L81" s="15" t="inlineStr">
        <is>
          <t>Not Executed</t>
        </is>
      </c>
      <c r="M81" s="15" t="inlineStr"/>
      <c r="N81" s="15" t="inlineStr"/>
      <c r="O81" s="15" t="inlineStr"/>
      <c r="P81" s="14" t="inlineStr"/>
    </row>
    <row r="82" ht="75" customHeight="1">
      <c r="A82" s="11" t="inlineStr">
        <is>
          <t>PAT-081</t>
        </is>
      </c>
      <c r="B82" s="12" t="inlineStr">
        <is>
          <t>Overview Tab - UHID Preview</t>
        </is>
      </c>
      <c r="C82" s="12" t="inlineStr">
        <is>
          <t>UHID preview card shows probable UHID for an eligible patient</t>
        </is>
      </c>
      <c r="D82" s="13" t="inlineStr">
        <is>
          <t>High</t>
        </is>
      </c>
      <c r="E82" s="12" t="inlineStr">
        <is>
          <t>Functional</t>
        </is>
      </c>
      <c r="F82" s="12" t="inlineStr">
        <is>
          <t>Bangalore patient with zone + linked hospital, no UHID yet, initial visit not complete.</t>
        </is>
      </c>
      <c r="G82" s="12" t="inlineStr">
        <is>
          <t>1. Scroll to the bottom of the Initial Assessment block before completing it</t>
        </is>
      </c>
      <c r="H82" s="12" t="inlineStr">
        <is>
          <t>N/A</t>
        </is>
      </c>
      <c r="I82" s="12" t="inlineStr">
        <is>
          <t>GET /api/patients/uhid/preview fires and a 'UHID Preview' card shows the Homecare UHID Code and probable UHID with an 'estimate' note. The complete button reads 'Mark Complete and Assign UHID'.</t>
        </is>
      </c>
      <c r="J82" s="12" t="inlineStr">
        <is>
          <t>GET /api/patients/uhid/preview</t>
        </is>
      </c>
      <c r="K82" s="14" t="inlineStr"/>
      <c r="L82" s="15" t="inlineStr">
        <is>
          <t>Not Executed</t>
        </is>
      </c>
      <c r="M82" s="15" t="inlineStr"/>
      <c r="N82" s="15" t="inlineStr"/>
      <c r="O82" s="15" t="inlineStr"/>
      <c r="P82" s="14" t="inlineStr"/>
    </row>
    <row r="83" ht="75" customHeight="1">
      <c r="A83" s="16" t="inlineStr">
        <is>
          <t>PAT-082</t>
        </is>
      </c>
      <c r="B83" s="17" t="inlineStr">
        <is>
          <t>Overview Tab - UHID Preview Warning</t>
        </is>
      </c>
      <c r="C83" s="17" t="inlineStr">
        <is>
          <t>Missing zone/hospital shows warning instead of UHID preview</t>
        </is>
      </c>
      <c r="D83" s="18" t="inlineStr">
        <is>
          <t>Medium</t>
        </is>
      </c>
      <c r="E83" s="17" t="inlineStr">
        <is>
          <t>Validation</t>
        </is>
      </c>
      <c r="F83" s="17" t="inlineStr">
        <is>
          <t>Bangalore patient with no zone or no linked hospital, no UHID.</t>
        </is>
      </c>
      <c r="G83" s="17" t="inlineStr">
        <is>
          <t>1. Open Overview and scroll to the complete button area</t>
        </is>
      </c>
      <c r="H83" s="17" t="inlineStr">
        <is>
          <t>N/A</t>
        </is>
      </c>
      <c r="I83" s="17" t="inlineStr">
        <is>
          <t>No preview card; a warning 'Set the patient's zone and linked hospital before completing the initial assessment to auto-generate a UHID.' shows. previewUhid is not requested (or returns 400 for invalid params).</t>
        </is>
      </c>
      <c r="J83" s="17" t="inlineStr">
        <is>
          <t>GET /api/patients/uhid/preview</t>
        </is>
      </c>
      <c r="K83" s="14" t="inlineStr"/>
      <c r="L83" s="15" t="inlineStr">
        <is>
          <t>Not Executed</t>
        </is>
      </c>
      <c r="M83" s="15" t="inlineStr"/>
      <c r="N83" s="15" t="inlineStr"/>
      <c r="O83" s="15" t="inlineStr"/>
      <c r="P83" s="14" t="inlineStr"/>
    </row>
    <row r="84" ht="90" customHeight="1">
      <c r="A84" s="11" t="inlineStr">
        <is>
          <t>PAT-083</t>
        </is>
      </c>
      <c r="B84" s="12" t="inlineStr">
        <is>
          <t>Overview Tab - Mark Initial Assessment Complete</t>
        </is>
      </c>
      <c r="C84" s="12" t="inlineStr">
        <is>
          <t>Marking initial assessment complete assigns a UHID</t>
        </is>
      </c>
      <c r="D84" s="13" t="inlineStr">
        <is>
          <t>High</t>
        </is>
      </c>
      <c r="E84" s="12" t="inlineStr">
        <is>
          <t>Data Integrity</t>
        </is>
      </c>
      <c r="F84" s="12" t="inlineStr">
        <is>
          <t>Eligible Bangalore patient with UHID preview (PAT-081).</t>
        </is>
      </c>
      <c r="G84" s="12" t="inlineStr">
        <is>
          <t>1. Click 'Mark Complete and Assign UHID'
2. Read the confirmation alert</t>
        </is>
      </c>
      <c r="H84" s="12" t="inlineStr">
        <is>
          <t>N/A</t>
        </is>
      </c>
      <c r="I84" s="12" t="inlineStr">
        <is>
          <t>Visit status -&gt; completed; an alert 'Initial assessment completed. UHID &lt;value&gt; assigned.' shows; patient refreshes and the header/Clinical Status chips now display the real UHID. The block now shows 'Initial Assessment Completed'.</t>
        </is>
      </c>
      <c r="J84" s="12" t="inlineStr">
        <is>
          <t>N/A (saranam updateVisit); GET /api/patients/:id refresh</t>
        </is>
      </c>
      <c r="K84" s="14" t="inlineStr"/>
      <c r="L84" s="15" t="inlineStr">
        <is>
          <t>Not Executed</t>
        </is>
      </c>
      <c r="M84" s="15" t="inlineStr"/>
      <c r="N84" s="15" t="inlineStr"/>
      <c r="O84" s="15" t="inlineStr"/>
      <c r="P84" s="14" t="inlineStr"/>
    </row>
    <row r="85" ht="60" customHeight="1">
      <c r="A85" s="16" t="inlineStr">
        <is>
          <t>PAT-084</t>
        </is>
      </c>
      <c r="B85" s="17" t="inlineStr">
        <is>
          <t>Overview Tab - Non-Bangalore No UHID</t>
        </is>
      </c>
      <c r="C85" s="17" t="inlineStr">
        <is>
          <t>Non-Bangalore patient never gets a UHID on completion</t>
        </is>
      </c>
      <c r="D85" s="18" t="inlineStr">
        <is>
          <t>Medium</t>
        </is>
      </c>
      <c r="E85" s="17" t="inlineStr">
        <is>
          <t>Data Integrity</t>
        </is>
      </c>
      <c r="F85" s="17" t="inlineStr">
        <is>
          <t>Non-Bangalore patient (is_bangalore_resident=false), initial visit not complete.</t>
        </is>
      </c>
      <c r="G85" s="17" t="inlineStr">
        <is>
          <t>1. Open Overview, confirm no UHID preview/card
2. Click 'Mark Initial Assessment as Complete'</t>
        </is>
      </c>
      <c r="H85" s="17" t="inlineStr">
        <is>
          <t>N/A</t>
        </is>
      </c>
      <c r="I85" s="17" t="inlineStr">
        <is>
          <t>No UHID preview card. On completion the visit is marked completed but no UHID is assigned (UHID chip stays '—'); the button label is the non-UHID variant.</t>
        </is>
      </c>
      <c r="J85" s="17" t="inlineStr">
        <is>
          <t>N/A (saranam updateVisit)</t>
        </is>
      </c>
      <c r="K85" s="14" t="inlineStr"/>
      <c r="L85" s="15" t="inlineStr">
        <is>
          <t>Not Executed</t>
        </is>
      </c>
      <c r="M85" s="15" t="inlineStr"/>
      <c r="N85" s="15" t="inlineStr"/>
      <c r="O85" s="15" t="inlineStr"/>
      <c r="P85" s="14" t="inlineStr"/>
    </row>
    <row r="86" ht="45" customHeight="1">
      <c r="A86" s="11" t="inlineStr">
        <is>
          <t>PAT-085</t>
        </is>
      </c>
      <c r="B86" s="12" t="inlineStr">
        <is>
          <t>Overview Tab - No Initial Visit</t>
        </is>
      </c>
      <c r="C86" s="12" t="inlineStr">
        <is>
          <t>Overview shows info note when no initial visit exists</t>
        </is>
      </c>
      <c r="D86" s="20" t="inlineStr">
        <is>
          <t>Low</t>
        </is>
      </c>
      <c r="E86" s="12" t="inlineStr">
        <is>
          <t>Edge Case</t>
        </is>
      </c>
      <c r="F86" s="12" t="inlineStr">
        <is>
          <t>Patient with no initial visit record.</t>
        </is>
      </c>
      <c r="G86" s="12" t="inlineStr">
        <is>
          <t>1. Open the Overview tab</t>
        </is>
      </c>
      <c r="H86" s="12" t="inlineStr">
        <is>
          <t>N/A</t>
        </is>
      </c>
      <c r="I86" s="12" t="inlineStr">
        <is>
          <t>Instead of assessment accordions, an info alert 'No initial visit record found...' is shown; the body map section is hidden.</t>
        </is>
      </c>
      <c r="J86" s="12" t="inlineStr">
        <is>
          <t>N/A (saranam getInitialVisit)</t>
        </is>
      </c>
      <c r="K86" s="14" t="inlineStr"/>
      <c r="L86" s="15" t="inlineStr">
        <is>
          <t>Not Executed</t>
        </is>
      </c>
      <c r="M86" s="15" t="inlineStr"/>
      <c r="N86" s="15" t="inlineStr"/>
      <c r="O86" s="15" t="inlineStr"/>
      <c r="P86" s="14" t="inlineStr"/>
    </row>
    <row r="87" ht="75" customHeight="1">
      <c r="A87" s="16" t="inlineStr">
        <is>
          <t>PAT-086</t>
        </is>
      </c>
      <c r="B87" s="17" t="inlineStr">
        <is>
          <t>Visits Tab - List</t>
        </is>
      </c>
      <c r="C87" s="17" t="inlineStr">
        <is>
          <t>Visits tab lists existing visits with count and status</t>
        </is>
      </c>
      <c r="D87" s="21" t="inlineStr">
        <is>
          <t>High</t>
        </is>
      </c>
      <c r="E87" s="17" t="inlineStr">
        <is>
          <t>Functional</t>
        </is>
      </c>
      <c r="F87" s="17" t="inlineStr">
        <is>
          <t>Patient with &gt;=1 visit.</t>
        </is>
      </c>
      <c r="G87" s="17" t="inlineStr">
        <is>
          <t>1. Open the Visits tab</t>
        </is>
      </c>
      <c r="H87" s="17" t="inlineStr">
        <is>
          <t>N/A</t>
        </is>
      </c>
      <c r="I87" s="17" t="inlineStr">
        <is>
          <t>Header shows 'N Visits'. Each visit shows visit number, type label, date, location, BP summary (if any) and a status chip (completed/in_progress/scheduled/cancelled). saranam listVisits is called.</t>
        </is>
      </c>
      <c r="J87" s="17" t="inlineStr">
        <is>
          <t>N/A (saranam listVisits)</t>
        </is>
      </c>
      <c r="K87" s="14" t="inlineStr"/>
      <c r="L87" s="15" t="inlineStr">
        <is>
          <t>Not Executed</t>
        </is>
      </c>
      <c r="M87" s="15" t="inlineStr"/>
      <c r="N87" s="15" t="inlineStr"/>
      <c r="O87" s="15" t="inlineStr"/>
      <c r="P87" s="14" t="inlineStr"/>
    </row>
    <row r="88" ht="45" customHeight="1">
      <c r="A88" s="11" t="inlineStr">
        <is>
          <t>PAT-087</t>
        </is>
      </c>
      <c r="B88" s="12" t="inlineStr">
        <is>
          <t>Visits Tab - Empty</t>
        </is>
      </c>
      <c r="C88" s="12" t="inlineStr">
        <is>
          <t>Visits tab empty state offers 'Record First Visit'</t>
        </is>
      </c>
      <c r="D88" s="20" t="inlineStr">
        <is>
          <t>Low</t>
        </is>
      </c>
      <c r="E88" s="12" t="inlineStr">
        <is>
          <t>Edge Case</t>
        </is>
      </c>
      <c r="F88" s="12" t="inlineStr">
        <is>
          <t>Patient with no visits.</t>
        </is>
      </c>
      <c r="G88" s="12" t="inlineStr">
        <is>
          <t>1. Open the Visits tab</t>
        </is>
      </c>
      <c r="H88" s="12" t="inlineStr">
        <is>
          <t>N/A</t>
        </is>
      </c>
      <c r="I88" s="12" t="inlineStr">
        <is>
          <t>Shows 'No visits recorded yet' with a 'Record First Visit' button that opens the New Visit dialog.</t>
        </is>
      </c>
      <c r="J88" s="12" t="inlineStr">
        <is>
          <t>N/A (saranam listVisits)</t>
        </is>
      </c>
      <c r="K88" s="14" t="inlineStr"/>
      <c r="L88" s="15" t="inlineStr">
        <is>
          <t>Not Executed</t>
        </is>
      </c>
      <c r="M88" s="15" t="inlineStr"/>
      <c r="N88" s="15" t="inlineStr"/>
      <c r="O88" s="15" t="inlineStr"/>
      <c r="P88" s="14" t="inlineStr"/>
    </row>
    <row r="89" ht="60" customHeight="1">
      <c r="A89" s="16" t="inlineStr">
        <is>
          <t>PAT-088</t>
        </is>
      </c>
      <c r="B89" s="17" t="inlineStr">
        <is>
          <t>Visits Tab - Create Follow-up Visit</t>
        </is>
      </c>
      <c r="C89" s="17" t="inlineStr">
        <is>
          <t>Create a follow-up visit with vitals</t>
        </is>
      </c>
      <c r="D89" s="21" t="inlineStr">
        <is>
          <t>High</t>
        </is>
      </c>
      <c r="E89" s="17" t="inlineStr">
        <is>
          <t>Functional</t>
        </is>
      </c>
      <c r="F89" s="17" t="inlineStr">
        <is>
          <t>Patient open; Visits tab.</t>
        </is>
      </c>
      <c r="G89" s="17" t="inlineStr">
        <is>
          <t>1. Click 'New Visit'
2. Type=Follow-Up, set date, Location=Home, enter vitals (PR 80, BP 120/80, SpO2 98)
3. Click Create Visit</t>
        </is>
      </c>
      <c r="H89" s="17" t="inlineStr">
        <is>
          <t>PR=80, BP=120/80, SpO2=98</t>
        </is>
      </c>
      <c r="I89" s="17" t="inlineStr">
        <is>
          <t>saranam createVisit succeeds; dialog closes; the new visit appears at the top of the list with the vitals summary. Empty vitals are sent as null.</t>
        </is>
      </c>
      <c r="J89" s="17" t="inlineStr">
        <is>
          <t>N/A (saranam createVisit)</t>
        </is>
      </c>
      <c r="K89" s="14" t="inlineStr"/>
      <c r="L89" s="15" t="inlineStr">
        <is>
          <t>Not Executed</t>
        </is>
      </c>
      <c r="M89" s="15" t="inlineStr"/>
      <c r="N89" s="15" t="inlineStr"/>
      <c r="O89" s="15" t="inlineStr"/>
      <c r="P89" s="14" t="inlineStr"/>
    </row>
    <row r="90" ht="60" customHeight="1">
      <c r="A90" s="11" t="inlineStr">
        <is>
          <t>PAT-089</t>
        </is>
      </c>
      <c r="B90" s="12" t="inlineStr">
        <is>
          <t>Visits Tab - Teleconsult Validation</t>
        </is>
      </c>
      <c r="C90" s="12" t="inlineStr">
        <is>
          <t>Teleconsult requires provider and time</t>
        </is>
      </c>
      <c r="D90" s="13" t="inlineStr">
        <is>
          <t>High</t>
        </is>
      </c>
      <c r="E90" s="12" t="inlineStr">
        <is>
          <t>Validation</t>
        </is>
      </c>
      <c r="F90" s="12" t="inlineStr">
        <is>
          <t>New Visit dialog open.</t>
        </is>
      </c>
      <c r="G90" s="12" t="inlineStr">
        <is>
          <t>1. Set Visit Type = Teleconsult (location switches to Video Call, time picker appears)
2. Leave provider unselected and click Schedule Teleconsult</t>
        </is>
      </c>
      <c r="H90" s="12" t="inlineStr">
        <is>
          <t>N/A</t>
        </is>
      </c>
      <c r="I90" s="12" t="inlineStr">
        <is>
          <t>Error 'Please pick a provider for the teleconsult.' (and 'Please pick a time.' if time is blank). No visit/session created until both are set.</t>
        </is>
      </c>
      <c r="J90" s="12" t="inlineStr">
        <is>
          <t>N/A (saranam createVisit + teleconsult scheduleSession)</t>
        </is>
      </c>
      <c r="K90" s="14" t="inlineStr"/>
      <c r="L90" s="15" t="inlineStr">
        <is>
          <t>Not Executed</t>
        </is>
      </c>
      <c r="M90" s="15" t="inlineStr"/>
      <c r="N90" s="15" t="inlineStr"/>
      <c r="O90" s="15" t="inlineStr"/>
      <c r="P90" s="14" t="inlineStr"/>
    </row>
    <row r="91" ht="75" customHeight="1">
      <c r="A91" s="16" t="inlineStr">
        <is>
          <t>PAT-090</t>
        </is>
      </c>
      <c r="B91" s="17" t="inlineStr">
        <is>
          <t>Visits Tab - Teleconsult Create</t>
        </is>
      </c>
      <c r="C91" s="17" t="inlineStr">
        <is>
          <t>Schedule a video teleconsult creates both a visit and a tele session</t>
        </is>
      </c>
      <c r="D91" s="18" t="inlineStr">
        <is>
          <t>Medium</t>
        </is>
      </c>
      <c r="E91" s="17" t="inlineStr">
        <is>
          <t>Functional</t>
        </is>
      </c>
      <c r="F91" s="17" t="inlineStr">
        <is>
          <t>New Visit dialog; a provider exists.</t>
        </is>
      </c>
      <c r="G91" s="17" t="inlineStr">
        <is>
          <t>1. Type=Teleconsult, Location=Video Call, pick a provider, set a future time, toggle 'Record this call'
2. Click Schedule Teleconsult</t>
        </is>
      </c>
      <c r="H91" s="17" t="inlineStr">
        <is>
          <t>Video, provider selected, record=on</t>
        </is>
      </c>
      <c r="I91" s="17" t="inlineStr">
        <is>
          <t>createVisit then teleconsult scheduleSession are both called (channel=video, record_call=true, scheduled_at ISO from date+time). Info note about notifications is shown. The visit appears in the list.</t>
        </is>
      </c>
      <c r="J91" s="17" t="inlineStr">
        <is>
          <t>N/A (saranam createVisit + teleconsult scheduleSession)</t>
        </is>
      </c>
      <c r="K91" s="14" t="inlineStr"/>
      <c r="L91" s="15" t="inlineStr">
        <is>
          <t>Not Executed</t>
        </is>
      </c>
      <c r="M91" s="15" t="inlineStr"/>
      <c r="N91" s="15" t="inlineStr"/>
      <c r="O91" s="15" t="inlineStr"/>
      <c r="P91" s="14" t="inlineStr"/>
    </row>
    <row r="92" ht="45" customHeight="1">
      <c r="A92" s="11" t="inlineStr">
        <is>
          <t>PAT-091</t>
        </is>
      </c>
      <c r="B92" s="12" t="inlineStr">
        <is>
          <t>Visits Tab - Visit Type / Location Coupling</t>
        </is>
      </c>
      <c r="C92" s="12" t="inlineStr">
        <is>
          <t>Switching away from Teleconsult resets location to Home</t>
        </is>
      </c>
      <c r="D92" s="20" t="inlineStr">
        <is>
          <t>Low</t>
        </is>
      </c>
      <c r="E92" s="12" t="inlineStr">
        <is>
          <t>Functional</t>
        </is>
      </c>
      <c r="F92" s="12" t="inlineStr">
        <is>
          <t>New Visit dialog; Teleconsult selected with Video location.</t>
        </is>
      </c>
      <c r="G92" s="12" t="inlineStr">
        <is>
          <t>1. Switch Visit Type from Teleconsult back to Follow-Up</t>
        </is>
      </c>
      <c r="H92" s="12" t="inlineStr">
        <is>
          <t>N/A</t>
        </is>
      </c>
      <c r="I92" s="12" t="inlineStr">
        <is>
          <t>Location dropdown reverts to {Home} and value resets to 'home'; the time picker, provider select and record toggle disappear.</t>
        </is>
      </c>
      <c r="J92" s="12" t="inlineStr">
        <is>
          <t>N/A</t>
        </is>
      </c>
      <c r="K92" s="14" t="inlineStr"/>
      <c r="L92" s="15" t="inlineStr">
        <is>
          <t>Not Executed</t>
        </is>
      </c>
      <c r="M92" s="15" t="inlineStr"/>
      <c r="N92" s="15" t="inlineStr"/>
      <c r="O92" s="15" t="inlineStr"/>
      <c r="P92" s="14" t="inlineStr"/>
    </row>
    <row r="93" ht="75" customHeight="1">
      <c r="A93" s="16" t="inlineStr">
        <is>
          <t>PAT-092</t>
        </is>
      </c>
      <c r="B93" s="17" t="inlineStr">
        <is>
          <t>Visit Detail - Follow-Up Sheet Load</t>
        </is>
      </c>
      <c r="C93" s="17" t="inlineStr">
        <is>
          <t>Opening a visit loads the Follow-Up Sheet with saved data + baseline</t>
        </is>
      </c>
      <c r="D93" s="21" t="inlineStr">
        <is>
          <t>High</t>
        </is>
      </c>
      <c r="E93" s="17" t="inlineStr">
        <is>
          <t>Functional</t>
        </is>
      </c>
      <c r="F93" s="17" t="inlineStr">
        <is>
          <t>A follow-up visit with previously saved data exists.</t>
        </is>
      </c>
      <c r="G93" s="17" t="inlineStr">
        <is>
          <t>1. Open the Visits tab and click a visit
2. Expand the 'Initial Assessment (Baseline)' read-only block</t>
        </is>
      </c>
      <c r="H93" s="17" t="inlineStr">
        <is>
          <t>N/A</t>
        </is>
      </c>
      <c r="I93" s="17" t="inlineStr">
        <is>
          <t>Visit, doctor and psychological assessments and care-plan load into the sheet. Baseline shows diagnosis/pain/ESAS/PPS/medications read-only. Header shows visit number, type label and full date.</t>
        </is>
      </c>
      <c r="J93" s="17" t="inlineStr">
        <is>
          <t>N/A (saranam getVisit/getAssessment/getInitialVisit)</t>
        </is>
      </c>
      <c r="K93" s="14" t="inlineStr"/>
      <c r="L93" s="15" t="inlineStr">
        <is>
          <t>Not Executed</t>
        </is>
      </c>
      <c r="M93" s="15" t="inlineStr"/>
      <c r="N93" s="15" t="inlineStr"/>
      <c r="O93" s="15" t="inlineStr"/>
      <c r="P93" s="14" t="inlineStr"/>
    </row>
    <row r="94" ht="60" customHeight="1">
      <c r="A94" s="11" t="inlineStr">
        <is>
          <t>PAT-093</t>
        </is>
      </c>
      <c r="B94" s="12" t="inlineStr">
        <is>
          <t>Visit Detail - Save Follow-Up</t>
        </is>
      </c>
      <c r="C94" s="12" t="inlineStr">
        <is>
          <t>Edit vitals/notes and Save Follow-Up persists</t>
        </is>
      </c>
      <c r="D94" s="13" t="inlineStr">
        <is>
          <t>High</t>
        </is>
      </c>
      <c r="E94" s="12" t="inlineStr">
        <is>
          <t>Functional</t>
        </is>
      </c>
      <c r="F94" s="12" t="inlineStr">
        <is>
          <t>Visit detail open.</t>
        </is>
      </c>
      <c r="G94" s="12" t="inlineStr">
        <is>
          <t>1. Enter chief complaints, HPI, vitals (incl. GRBS), follow-up advice, visit summary
2. Click Save Follow-Up</t>
        </is>
      </c>
      <c r="H94" s="12" t="inlineStr">
        <is>
          <t>PR=72, GRBS=110, summary='Stable'</t>
        </is>
      </c>
      <c r="I94" s="12" t="inlineStr">
        <is>
          <t>updateVisit + saveAssessment('doctor') (+ psychological if present) succeed; button shows 'Saved!' for ~3s; reload shows the saved data.</t>
        </is>
      </c>
      <c r="J94" s="12" t="inlineStr">
        <is>
          <t>N/A (saranam updateVisit/saveAssessment)</t>
        </is>
      </c>
      <c r="K94" s="14" t="inlineStr"/>
      <c r="L94" s="15" t="inlineStr">
        <is>
          <t>Not Executed</t>
        </is>
      </c>
      <c r="M94" s="15" t="inlineStr"/>
      <c r="N94" s="15" t="inlineStr"/>
      <c r="O94" s="15" t="inlineStr"/>
      <c r="P94" s="14" t="inlineStr"/>
    </row>
    <row r="95" ht="60" customHeight="1">
      <c r="A95" s="16" t="inlineStr">
        <is>
          <t>PAT-094</t>
        </is>
      </c>
      <c r="B95" s="17" t="inlineStr">
        <is>
          <t>Visit Detail - Save &amp; Mark Complete</t>
        </is>
      </c>
      <c r="C95" s="17" t="inlineStr">
        <is>
          <t>Save &amp; Mark Complete sets the visit to completed and returns to the list</t>
        </is>
      </c>
      <c r="D95" s="18" t="inlineStr">
        <is>
          <t>Medium</t>
        </is>
      </c>
      <c r="E95" s="17" t="inlineStr">
        <is>
          <t>Functional</t>
        </is>
      </c>
      <c r="F95" s="17" t="inlineStr">
        <is>
          <t>Visit detail open.</t>
        </is>
      </c>
      <c r="G95" s="17" t="inlineStr">
        <is>
          <t>1. Click 'Save &amp; Mark Complete'</t>
        </is>
      </c>
      <c r="H95" s="17" t="inlineStr">
        <is>
          <t>N/A</t>
        </is>
      </c>
      <c r="I95" s="17" t="inlineStr">
        <is>
          <t>The follow-up saves, then updateVisit sets status='completed', and the view returns to the visit list where the visit shows a green 'completed' chip.</t>
        </is>
      </c>
      <c r="J95" s="17" t="inlineStr">
        <is>
          <t>N/A (saranam updateVisit)</t>
        </is>
      </c>
      <c r="K95" s="14" t="inlineStr"/>
      <c r="L95" s="15" t="inlineStr">
        <is>
          <t>Not Executed</t>
        </is>
      </c>
      <c r="M95" s="15" t="inlineStr"/>
      <c r="N95" s="15" t="inlineStr"/>
      <c r="O95" s="15" t="inlineStr"/>
      <c r="P95" s="14" t="inlineStr"/>
    </row>
    <row r="96" ht="45" customHeight="1">
      <c r="A96" s="11" t="inlineStr">
        <is>
          <t>PAT-095</t>
        </is>
      </c>
      <c r="B96" s="12" t="inlineStr">
        <is>
          <t>Visit Detail - Patient Outcome Deceased Validation</t>
        </is>
      </c>
      <c r="C96" s="12" t="inlineStr">
        <is>
          <t>Ticking 'Patient has passed away' requires a date of death</t>
        </is>
      </c>
      <c r="D96" s="13" t="inlineStr">
        <is>
          <t>High</t>
        </is>
      </c>
      <c r="E96" s="12" t="inlineStr">
        <is>
          <t>Validation</t>
        </is>
      </c>
      <c r="F96" s="12" t="inlineStr">
        <is>
          <t>Visit detail open.</t>
        </is>
      </c>
      <c r="G96" s="12" t="inlineStr">
        <is>
          <t>1. Tick 'Patient has passed away', clear the auto-filled date
2. Click Save Follow-Up</t>
        </is>
      </c>
      <c r="H96" s="12" t="inlineStr">
        <is>
          <t>Date of death = (blank)</t>
        </is>
      </c>
      <c r="I96" s="12" t="inlineStr">
        <is>
          <t>Alert 'Please set the date of death before saving.'; save aborts. The date input rejects future dates (max=today).</t>
        </is>
      </c>
      <c r="J96" s="12" t="inlineStr">
        <is>
          <t>PUT /api/patients/:id</t>
        </is>
      </c>
      <c r="K96" s="14" t="inlineStr"/>
      <c r="L96" s="15" t="inlineStr">
        <is>
          <t>Not Executed</t>
        </is>
      </c>
      <c r="M96" s="15" t="inlineStr"/>
      <c r="N96" s="15" t="inlineStr"/>
      <c r="O96" s="15" t="inlineStr"/>
      <c r="P96" s="14" t="inlineStr"/>
    </row>
    <row r="97" ht="45" customHeight="1">
      <c r="A97" s="16" t="inlineStr">
        <is>
          <t>PAT-096</t>
        </is>
      </c>
      <c r="B97" s="17" t="inlineStr">
        <is>
          <t>Visit Detail - Patient Outcome Others Remark</t>
        </is>
      </c>
      <c r="C97" s="17" t="inlineStr">
        <is>
          <t>Place of death 'Others' requires remarks</t>
        </is>
      </c>
      <c r="D97" s="18" t="inlineStr">
        <is>
          <t>Medium</t>
        </is>
      </c>
      <c r="E97" s="17" t="inlineStr">
        <is>
          <t>Validation</t>
        </is>
      </c>
      <c r="F97" s="17" t="inlineStr">
        <is>
          <t>Visit detail; deceased ticked with a valid date.</t>
        </is>
      </c>
      <c r="G97" s="17" t="inlineStr">
        <is>
          <t>1. Set Place of death = Others, leave Remarks blank
2. Click Save Follow-Up</t>
        </is>
      </c>
      <c r="H97" s="17" t="inlineStr">
        <is>
          <t>Place=Others, Remarks=(blank)</t>
        </is>
      </c>
      <c r="I97" s="17" t="inlineStr">
        <is>
          <t>Alert 'Please describe the place of death in Remarks.'; save aborts until remarks are entered.</t>
        </is>
      </c>
      <c r="J97" s="17" t="inlineStr">
        <is>
          <t>PUT /api/patients/:id</t>
        </is>
      </c>
      <c r="K97" s="14" t="inlineStr"/>
      <c r="L97" s="15" t="inlineStr">
        <is>
          <t>Not Executed</t>
        </is>
      </c>
      <c r="M97" s="15" t="inlineStr"/>
      <c r="N97" s="15" t="inlineStr"/>
      <c r="O97" s="15" t="inlineStr"/>
      <c r="P97" s="14" t="inlineStr"/>
    </row>
    <row r="98" ht="75" customHeight="1">
      <c r="A98" s="11" t="inlineStr">
        <is>
          <t>PAT-097</t>
        </is>
      </c>
      <c r="B98" s="12" t="inlineStr">
        <is>
          <t>Visit Detail - Mark Deceased from Visit</t>
        </is>
      </c>
      <c r="C98" s="12" t="inlineStr">
        <is>
          <t>Marking deceased from a visit updates the patient record</t>
        </is>
      </c>
      <c r="D98" s="13" t="inlineStr">
        <is>
          <t>High</t>
        </is>
      </c>
      <c r="E98" s="12" t="inlineStr">
        <is>
          <t>Data Integrity</t>
        </is>
      </c>
      <c r="F98" s="12" t="inlineStr">
        <is>
          <t>Visit detail; alive patient.</t>
        </is>
      </c>
      <c r="G98" s="12" t="inlineStr">
        <is>
          <t>1. Tick passed away, set date 2026-05-20, Place=Home
2. Click Save Follow-Up
3. Navigate back to the patient header</t>
        </is>
      </c>
      <c r="H98" s="12" t="inlineStr">
        <is>
          <t>DoD=2026-05-20, Place=Home</t>
        </is>
      </c>
      <c r="I98" s="12" t="inlineStr">
        <is>
          <t>PUT /api/patients/:id sends is_deceased=true + date/place; the patient header now shows the Deceased chip with the date; the patient is removed from the scheduling pool (care_status auto-demoted).</t>
        </is>
      </c>
      <c r="J98" s="12" t="inlineStr">
        <is>
          <t>PUT /api/patients/:id</t>
        </is>
      </c>
      <c r="K98" s="14" t="inlineStr"/>
      <c r="L98" s="15" t="inlineStr">
        <is>
          <t>Not Executed</t>
        </is>
      </c>
      <c r="M98" s="15" t="inlineStr"/>
      <c r="N98" s="15" t="inlineStr"/>
      <c r="O98" s="15" t="inlineStr"/>
      <c r="P98" s="14" t="inlineStr"/>
    </row>
    <row r="99" ht="45" customHeight="1">
      <c r="A99" s="16" t="inlineStr">
        <is>
          <t>PAT-098</t>
        </is>
      </c>
      <c r="B99" s="17" t="inlineStr">
        <is>
          <t>Visit Detail - Untick Deceased</t>
        </is>
      </c>
      <c r="C99" s="17" t="inlineStr">
        <is>
          <t>Un-ticking deceased reverts the patient to alive and clears death fields</t>
        </is>
      </c>
      <c r="D99" s="18" t="inlineStr">
        <is>
          <t>Medium</t>
        </is>
      </c>
      <c r="E99" s="17" t="inlineStr">
        <is>
          <t>Data Integrity</t>
        </is>
      </c>
      <c r="F99" s="17" t="inlineStr">
        <is>
          <t>A deceased patient's visit detail open.</t>
        </is>
      </c>
      <c r="G99" s="17" t="inlineStr">
        <is>
          <t>1. Untick 'Patient has passed away'
2. Click Save Follow-Up</t>
        </is>
      </c>
      <c r="H99" s="17" t="inlineStr">
        <is>
          <t>N/A</t>
        </is>
      </c>
      <c r="I99" s="17" t="inlineStr">
        <is>
          <t>PUT /api/patients/:id sends is_deceased=false and nulls date_of_death/place_of_death/remarks; header reverts to Alive status.</t>
        </is>
      </c>
      <c r="J99" s="17" t="inlineStr">
        <is>
          <t>PUT /api/patients/:id</t>
        </is>
      </c>
      <c r="K99" s="14" t="inlineStr"/>
      <c r="L99" s="15" t="inlineStr">
        <is>
          <t>Not Executed</t>
        </is>
      </c>
      <c r="M99" s="15" t="inlineStr"/>
      <c r="N99" s="15" t="inlineStr"/>
      <c r="O99" s="15" t="inlineStr"/>
      <c r="P99" s="14" t="inlineStr"/>
    </row>
    <row r="100" ht="60" customHeight="1">
      <c r="A100" s="11" t="inlineStr">
        <is>
          <t>PAT-099</t>
        </is>
      </c>
      <c r="B100" s="12" t="inlineStr">
        <is>
          <t>Visit Detail - Visit Prescription</t>
        </is>
      </c>
      <c r="C100" s="12" t="inlineStr">
        <is>
          <t>Save and download a per-visit prescription</t>
        </is>
      </c>
      <c r="D100" s="19" t="inlineStr">
        <is>
          <t>Medium</t>
        </is>
      </c>
      <c r="E100" s="12" t="inlineStr">
        <is>
          <t>Functional</t>
        </is>
      </c>
      <c r="F100" s="12" t="inlineStr">
        <is>
          <t>Visit detail open.</t>
        </is>
      </c>
      <c r="G100" s="12" t="inlineStr">
        <is>
          <t>1. In the Prescription block add a medication, set diagnosis text
2. Click Save (prescription), then Download PDF</t>
        </is>
      </c>
      <c r="H100" s="12" t="inlineStr">
        <is>
          <t>Med: Paracetamol 500mg TDS</t>
        </is>
      </c>
      <c r="I100" s="12" t="inlineStr">
        <is>
          <t>saveAssessment('care-plan') for the visit succeeds (Saved state). Download PDF generates a prescription document; missing data fails with an alert, not a crash.</t>
        </is>
      </c>
      <c r="J100" s="12" t="inlineStr">
        <is>
          <t>N/A (saranam saveAssessment 'care-plan')</t>
        </is>
      </c>
      <c r="K100" s="14" t="inlineStr"/>
      <c r="L100" s="15" t="inlineStr">
        <is>
          <t>Not Executed</t>
        </is>
      </c>
      <c r="M100" s="15" t="inlineStr"/>
      <c r="N100" s="15" t="inlineStr"/>
      <c r="O100" s="15" t="inlineStr"/>
      <c r="P100" s="14" t="inlineStr"/>
    </row>
    <row r="101" ht="75" customHeight="1">
      <c r="A101" s="16" t="inlineStr">
        <is>
          <t>PAT-100</t>
        </is>
      </c>
      <c r="B101" s="17" t="inlineStr">
        <is>
          <t>Visit Detail - Follow-up AI Summary</t>
        </is>
      </c>
      <c r="C101" s="17" t="inlineStr">
        <is>
          <t>Follow-up AI summary generate/save shown only for non-initial visits</t>
        </is>
      </c>
      <c r="D101" s="22" t="inlineStr">
        <is>
          <t>Low</t>
        </is>
      </c>
      <c r="E101" s="17" t="inlineStr">
        <is>
          <t>Functional</t>
        </is>
      </c>
      <c r="F101" s="17" t="inlineStr">
        <is>
          <t>A follow-up visit detail open.</t>
        </is>
      </c>
      <c r="G101" s="17" t="inlineStr">
        <is>
          <t>1. Click Generate in 'Follow-up Visit Summary', edit, click Save
2. Open an initial visit and confirm the card is absent</t>
        </is>
      </c>
      <c r="H101" s="17" t="inlineStr">
        <is>
          <t>N/A</t>
        </is>
      </c>
      <c r="I101" s="17" t="inlineStr">
        <is>
          <t>For follow-ups, generate fills the textarea + body map highlights; Save persists (saveFollowupSummary) and shows 'Last saved'. For initial visits the FollowupSummaryCard does not render.</t>
        </is>
      </c>
      <c r="J101" s="17" t="inlineStr">
        <is>
          <t>N/A (saranam generate/saveFollowupSummary)</t>
        </is>
      </c>
      <c r="K101" s="14" t="inlineStr"/>
      <c r="L101" s="15" t="inlineStr">
        <is>
          <t>Not Executed</t>
        </is>
      </c>
      <c r="M101" s="15" t="inlineStr"/>
      <c r="N101" s="15" t="inlineStr"/>
      <c r="O101" s="15" t="inlineStr"/>
      <c r="P101" s="14" t="inlineStr"/>
    </row>
    <row r="102" ht="90" customHeight="1">
      <c r="A102" s="11" t="inlineStr">
        <is>
          <t>PAT-101</t>
        </is>
      </c>
      <c r="B102" s="12" t="inlineStr">
        <is>
          <t>Trends Tab - Charts</t>
        </is>
      </c>
      <c r="C102" s="12" t="inlineStr">
        <is>
          <t>Trends tab renders Vitals, ESAS-R and PPS charts</t>
        </is>
      </c>
      <c r="D102" s="13" t="inlineStr">
        <is>
          <t>High</t>
        </is>
      </c>
      <c r="E102" s="12" t="inlineStr">
        <is>
          <t>Functional</t>
        </is>
      </c>
      <c r="F102" s="12" t="inlineStr">
        <is>
          <t>Patient with vitals across visits + ESAS + PPS history.</t>
        </is>
      </c>
      <c r="G102" s="12" t="inlineStr">
        <is>
          <t>1. Open the Trends tab
2. Inspect the three chart sections</t>
        </is>
      </c>
      <c r="H102" s="12" t="inlineStr">
        <is>
          <t>N/A</t>
        </is>
      </c>
      <c r="I102" s="12" t="inlineStr">
        <is>
          <t>Three calls (saranam getPatientScores for esas/pps/vitals) load. Vitals chart shows source legend + tab selector; ESAS chart shows symptom toggles + total burden area; PPS chart shows bands and latest PPS detail cards.</t>
        </is>
      </c>
      <c r="J102" s="12" t="inlineStr">
        <is>
          <t>N/A (saranam getPatientScores)</t>
        </is>
      </c>
      <c r="K102" s="14" t="inlineStr"/>
      <c r="L102" s="15" t="inlineStr">
        <is>
          <t>Not Executed</t>
        </is>
      </c>
      <c r="M102" s="15" t="inlineStr"/>
      <c r="N102" s="15" t="inlineStr"/>
      <c r="O102" s="15" t="inlineStr"/>
      <c r="P102" s="14" t="inlineStr"/>
    </row>
    <row r="103" ht="75" customHeight="1">
      <c r="A103" s="16" t="inlineStr">
        <is>
          <t>PAT-102</t>
        </is>
      </c>
      <c r="B103" s="17" t="inlineStr">
        <is>
          <t>Trends Tab - Vital Tab Selector</t>
        </is>
      </c>
      <c r="C103" s="17" t="inlineStr">
        <is>
          <t>Switching vital tabs changes the plotted metric and Y-domain</t>
        </is>
      </c>
      <c r="D103" s="18" t="inlineStr">
        <is>
          <t>Medium</t>
        </is>
      </c>
      <c r="E103" s="17" t="inlineStr">
        <is>
          <t>Functional</t>
        </is>
      </c>
      <c r="F103" s="17" t="inlineStr">
        <is>
          <t>Vitals trend rendered.</t>
        </is>
      </c>
      <c r="G103" s="17" t="inlineStr">
        <is>
          <t>1. Click each vital tab: Blood Pressure, Pulse Rate, SpO2, Temperature, Resp. Rate, GRBS</t>
        </is>
      </c>
      <c r="H103" s="17" t="inlineStr">
        <is>
          <t>N/A</t>
        </is>
      </c>
      <c r="I103" s="17" t="inlineStr">
        <is>
          <t>BP plots systolic + diastolic; the others plot a single line. The Y-axis domain and normal-range band change per metric; baseline reference line appears where baseline data exists.</t>
        </is>
      </c>
      <c r="J103" s="17" t="inlineStr">
        <is>
          <t>N/A</t>
        </is>
      </c>
      <c r="K103" s="14" t="inlineStr"/>
      <c r="L103" s="15" t="inlineStr">
        <is>
          <t>Not Executed</t>
        </is>
      </c>
      <c r="M103" s="15" t="inlineStr"/>
      <c r="N103" s="15" t="inlineStr"/>
      <c r="O103" s="15" t="inlineStr"/>
      <c r="P103" s="14" t="inlineStr"/>
    </row>
    <row r="104" ht="45" customHeight="1">
      <c r="A104" s="11" t="inlineStr">
        <is>
          <t>PAT-103</t>
        </is>
      </c>
      <c r="B104" s="12" t="inlineStr">
        <is>
          <t>Trends Tab - ESAS Symptom Toggles</t>
        </is>
      </c>
      <c r="C104" s="12" t="inlineStr">
        <is>
          <t>ESAS symptom toggles show/hide individual lines + Show/Hide All</t>
        </is>
      </c>
      <c r="D104" s="20" t="inlineStr">
        <is>
          <t>Low</t>
        </is>
      </c>
      <c r="E104" s="12" t="inlineStr">
        <is>
          <t>Functional</t>
        </is>
      </c>
      <c r="F104" s="12" t="inlineStr">
        <is>
          <t>ESAS data exists.</t>
        </is>
      </c>
      <c r="G104" s="12" t="inlineStr">
        <is>
          <t>1. Toggle off Pain, then Tiredness
2. Click 'Hide All' then 'Show All'</t>
        </is>
      </c>
      <c r="H104" s="12" t="inlineStr">
        <is>
          <t>N/A</t>
        </is>
      </c>
      <c r="I104" s="12" t="inlineStr">
        <is>
          <t>Each toggled symptom line disappears/reappears. 'Hide All'/'Show All' clears/restores all symptom lines.</t>
        </is>
      </c>
      <c r="J104" s="12" t="inlineStr">
        <is>
          <t>N/A</t>
        </is>
      </c>
      <c r="K104" s="14" t="inlineStr"/>
      <c r="L104" s="15" t="inlineStr">
        <is>
          <t>Not Executed</t>
        </is>
      </c>
      <c r="M104" s="15" t="inlineStr"/>
      <c r="N104" s="15" t="inlineStr"/>
      <c r="O104" s="15" t="inlineStr"/>
      <c r="P104" s="14" t="inlineStr"/>
    </row>
    <row r="105" ht="75" customHeight="1">
      <c r="A105" s="16" t="inlineStr">
        <is>
          <t>PAT-104</t>
        </is>
      </c>
      <c r="B105" s="17" t="inlineStr">
        <is>
          <t>Trends Tab - Baseline Comparison</t>
        </is>
      </c>
      <c r="C105" s="17" t="inlineStr">
        <is>
          <t>Change-from-baseline cards compute deltas and improve/deteriorate status</t>
        </is>
      </c>
      <c r="D105" s="22" t="inlineStr">
        <is>
          <t>Low</t>
        </is>
      </c>
      <c r="E105" s="17" t="inlineStr">
        <is>
          <t>Functional</t>
        </is>
      </c>
      <c r="F105" s="17" t="inlineStr">
        <is>
          <t>Patient has baseline + latest vitals.</t>
        </is>
      </c>
      <c r="G105" s="17" t="inlineStr">
        <is>
          <t>1. Scroll to 'Change from Baseline (Initial Visit)'</t>
        </is>
      </c>
      <c r="H105" s="17" t="inlineStr">
        <is>
          <t>N/A</t>
        </is>
      </c>
      <c r="I105" s="17" t="inlineStr">
        <is>
          <t>Each vital card shows latest value, delta vs baseline with up/down icon, reference range, and improved/deteriorated/stable coloring based on proximity to the range center.</t>
        </is>
      </c>
      <c r="J105" s="17" t="inlineStr">
        <is>
          <t>N/A</t>
        </is>
      </c>
      <c r="K105" s="14" t="inlineStr"/>
      <c r="L105" s="15" t="inlineStr">
        <is>
          <t>Not Executed</t>
        </is>
      </c>
      <c r="M105" s="15" t="inlineStr"/>
      <c r="N105" s="15" t="inlineStr"/>
      <c r="O105" s="15" t="inlineStr"/>
      <c r="P105" s="14" t="inlineStr"/>
    </row>
    <row r="106" ht="45" customHeight="1">
      <c r="A106" s="11" t="inlineStr">
        <is>
          <t>PAT-105</t>
        </is>
      </c>
      <c r="B106" s="12" t="inlineStr">
        <is>
          <t>Trends Tab - Empty</t>
        </is>
      </c>
      <c r="C106" s="12" t="inlineStr">
        <is>
          <t>Trends tab shows empty state when no assessment data exists</t>
        </is>
      </c>
      <c r="D106" s="19" t="inlineStr">
        <is>
          <t>Medium</t>
        </is>
      </c>
      <c r="E106" s="12" t="inlineStr">
        <is>
          <t>Edge Case</t>
        </is>
      </c>
      <c r="F106" s="12" t="inlineStr">
        <is>
          <t>Patient with no vitals/ESAS/PPS.</t>
        </is>
      </c>
      <c r="G106" s="12" t="inlineStr">
        <is>
          <t>1. Open the Trends tab</t>
        </is>
      </c>
      <c r="H106" s="12" t="inlineStr">
        <is>
          <t>N/A</t>
        </is>
      </c>
      <c r="I106" s="12" t="inlineStr">
        <is>
          <t>Shows 'No assessment data recorded yet' with guidance text; no chart sections render.</t>
        </is>
      </c>
      <c r="J106" s="12" t="inlineStr">
        <is>
          <t>N/A (saranam getPatientScores)</t>
        </is>
      </c>
      <c r="K106" s="14" t="inlineStr"/>
      <c r="L106" s="15" t="inlineStr">
        <is>
          <t>Not Executed</t>
        </is>
      </c>
      <c r="M106" s="15" t="inlineStr"/>
      <c r="N106" s="15" t="inlineStr"/>
      <c r="O106" s="15" t="inlineStr"/>
      <c r="P106" s="14" t="inlineStr"/>
    </row>
    <row r="107" ht="90" customHeight="1">
      <c r="A107" s="16" t="inlineStr">
        <is>
          <t>PAT-106</t>
        </is>
      </c>
      <c r="B107" s="17" t="inlineStr">
        <is>
          <t>Past Records Tab - Timeline</t>
        </is>
      </c>
      <c r="C107" s="17" t="inlineStr">
        <is>
          <t>Past Records timeline loads cross-module events newest-first</t>
        </is>
      </c>
      <c r="D107" s="21" t="inlineStr">
        <is>
          <t>High</t>
        </is>
      </c>
      <c r="E107" s="17" t="inlineStr">
        <is>
          <t>Functional</t>
        </is>
      </c>
      <c r="F107" s="17" t="inlineStr">
        <is>
          <t>Patient with visits, assessments, dispensings or forms.</t>
        </is>
      </c>
      <c r="G107" s="17" t="inlineStr">
        <is>
          <t>1. Open the Past Records tab
2. Expand a 'Home Visit' event</t>
        </is>
      </c>
      <c r="H107" s="17" t="inlineStr">
        <is>
          <t>N/A</t>
        </is>
      </c>
      <c r="I107" s="17" t="inlineStr">
        <is>
          <t>GET /api/patients/:id/full-history loads. Timeline shows registration + visits + encounters + IPD + dispensing + forms, newest first. Expanding a home visit reveals vitals badges, assessment summaries and prescription.</t>
        </is>
      </c>
      <c r="J107" s="17" t="inlineStr">
        <is>
          <t>GET /api/patients/:id/full-history</t>
        </is>
      </c>
      <c r="K107" s="14" t="inlineStr"/>
      <c r="L107" s="15" t="inlineStr">
        <is>
          <t>Not Executed</t>
        </is>
      </c>
      <c r="M107" s="15" t="inlineStr"/>
      <c r="N107" s="15" t="inlineStr"/>
      <c r="O107" s="15" t="inlineStr"/>
      <c r="P107" s="14" t="inlineStr"/>
    </row>
    <row r="108" ht="60" customHeight="1">
      <c r="A108" s="11" t="inlineStr">
        <is>
          <t>PAT-107</t>
        </is>
      </c>
      <c r="B108" s="12" t="inlineStr">
        <is>
          <t>Past Records Tab - Filters</t>
        </is>
      </c>
      <c r="C108" s="12" t="inlineStr">
        <is>
          <t>Type filter chips narrow the timeline</t>
        </is>
      </c>
      <c r="D108" s="19" t="inlineStr">
        <is>
          <t>Medium</t>
        </is>
      </c>
      <c r="E108" s="12" t="inlineStr">
        <is>
          <t>Functional</t>
        </is>
      </c>
      <c r="F108" s="12" t="inlineStr">
        <is>
          <t>Patient with multiple event types.</t>
        </is>
      </c>
      <c r="G108" s="12" t="inlineStr">
        <is>
          <t>1. Click 'Home Visits', then 'Medicines', then 'All'</t>
        </is>
      </c>
      <c r="H108" s="12" t="inlineStr">
        <is>
          <t>N/A</t>
        </is>
      </c>
      <c r="I108" s="12" t="inlineStr">
        <is>
          <t>Only chips with count&gt;0 (plus All) render. Selecting a type filters events to that type; counts in each chip match the summary returned by the API.</t>
        </is>
      </c>
      <c r="J108" s="12" t="inlineStr">
        <is>
          <t>GET /api/patients/:id/full-history</t>
        </is>
      </c>
      <c r="K108" s="14" t="inlineStr"/>
      <c r="L108" s="15" t="inlineStr">
        <is>
          <t>Not Executed</t>
        </is>
      </c>
      <c r="M108" s="15" t="inlineStr"/>
      <c r="N108" s="15" t="inlineStr"/>
      <c r="O108" s="15" t="inlineStr"/>
      <c r="P108" s="14" t="inlineStr"/>
    </row>
    <row r="109" ht="75" customHeight="1">
      <c r="A109" s="16" t="inlineStr">
        <is>
          <t>PAT-108</t>
        </is>
      </c>
      <c r="B109" s="17" t="inlineStr">
        <is>
          <t>Past Records Tab - Empty</t>
        </is>
      </c>
      <c r="C109" s="17" t="inlineStr">
        <is>
          <t>Past Records empty state when no history</t>
        </is>
      </c>
      <c r="D109" s="22" t="inlineStr">
        <is>
          <t>Low</t>
        </is>
      </c>
      <c r="E109" s="17" t="inlineStr">
        <is>
          <t>Edge Case</t>
        </is>
      </c>
      <c r="F109" s="17" t="inlineStr">
        <is>
          <t>Newly registered patient with no events beyond registration is unavailable; use a patient with zero events.</t>
        </is>
      </c>
      <c r="G109" s="17" t="inlineStr">
        <is>
          <t>1. Open Past Records for a patient with no recorded events</t>
        </is>
      </c>
      <c r="H109" s="17" t="inlineStr">
        <is>
          <t>N/A</t>
        </is>
      </c>
      <c r="I109" s="17" t="inlineStr">
        <is>
          <t>Shows 'No records found' with guidance text; no timeline rendered.</t>
        </is>
      </c>
      <c r="J109" s="17" t="inlineStr">
        <is>
          <t>GET /api/patients/:id/full-history</t>
        </is>
      </c>
      <c r="K109" s="14" t="inlineStr"/>
      <c r="L109" s="15" t="inlineStr">
        <is>
          <t>Not Executed</t>
        </is>
      </c>
      <c r="M109" s="15" t="inlineStr"/>
      <c r="N109" s="15" t="inlineStr"/>
      <c r="O109" s="15" t="inlineStr"/>
      <c r="P109" s="14" t="inlineStr"/>
    </row>
    <row r="110" ht="75" customHeight="1">
      <c r="A110" s="11" t="inlineStr">
        <is>
          <t>PAT-109</t>
        </is>
      </c>
      <c r="B110" s="12" t="inlineStr">
        <is>
          <t>Past Records Tab - Data Integrity</t>
        </is>
      </c>
      <c r="C110" s="12" t="inlineStr">
        <is>
          <t>Saved visit/assessment data appears correctly in Past Records</t>
        </is>
      </c>
      <c r="D110" s="13" t="inlineStr">
        <is>
          <t>High</t>
        </is>
      </c>
      <c r="E110" s="12" t="inlineStr">
        <is>
          <t>Data Integrity</t>
        </is>
      </c>
      <c r="F110" s="12" t="inlineStr">
        <is>
          <t>Just saved a follow-up visit with vitals + ESAS + PPS (from PAT-093/074/073).</t>
        </is>
      </c>
      <c r="G110" s="12" t="inlineStr">
        <is>
          <t>1. Open Past Records and expand the corresponding home visit</t>
        </is>
      </c>
      <c r="H110" s="12" t="inlineStr">
        <is>
          <t>N/A</t>
        </is>
      </c>
      <c r="I110" s="12" t="inlineStr">
        <is>
          <t>The expanded event shows the exact vitals (BP/PR/SpO2/Temp/RR/GRBS), ESAS scores per symptom + total, PPS score and dimensions, and prescription medications that were saved.</t>
        </is>
      </c>
      <c r="J110" s="12" t="inlineStr">
        <is>
          <t>GET /api/patients/:id/full-history</t>
        </is>
      </c>
      <c r="K110" s="14" t="inlineStr"/>
      <c r="L110" s="15" t="inlineStr">
        <is>
          <t>Not Executed</t>
        </is>
      </c>
      <c r="M110" s="15" t="inlineStr"/>
      <c r="N110" s="15" t="inlineStr"/>
      <c r="O110" s="15" t="inlineStr"/>
      <c r="P110" s="14" t="inlineStr"/>
    </row>
    <row r="111" ht="135" customHeight="1">
      <c r="A111" s="16" t="inlineStr">
        <is>
          <t>PAT-110</t>
        </is>
      </c>
      <c r="B111" s="17" t="inlineStr">
        <is>
          <t>Patient Edit - Load &amp; Prefill</t>
        </is>
      </c>
      <c r="C111" s="17" t="inlineStr">
        <is>
          <t>Edit screen prefills all fields from the patient record</t>
        </is>
      </c>
      <c r="D111" s="21" t="inlineStr">
        <is>
          <t>High</t>
        </is>
      </c>
      <c r="E111" s="17" t="inlineStr">
        <is>
          <t>Functional</t>
        </is>
      </c>
      <c r="F111" s="17" t="inlineStr">
        <is>
          <t>A patient with full data exists.</t>
        </is>
      </c>
      <c r="G111" s="17" t="inlineStr">
        <is>
          <t>1. From the patient header click the Edit (pencil) icon, or open /patients/:id/edit</t>
        </is>
      </c>
      <c r="H111" s="17" t="inlineStr">
        <is>
          <t>N/A</t>
        </is>
      </c>
      <c r="I111" s="17" t="inlineStr">
        <is>
          <t>GET /api/patients/:id loads and the form prefills name, DOB (normalised to YYYY-MM-DD), gender, phone (without +91), email, alternative phone+name, hospital UHID, care circle, address, diagnosis, referral, category, priority, care status, Bangalore resident + zone + linked hospital. UHID/homecare chips show read-only with explanatory note.</t>
        </is>
      </c>
      <c r="J111" s="17" t="inlineStr">
        <is>
          <t>GET /api/patients/:id</t>
        </is>
      </c>
      <c r="K111" s="14" t="inlineStr"/>
      <c r="L111" s="15" t="inlineStr">
        <is>
          <t>Not Executed</t>
        </is>
      </c>
      <c r="M111" s="15" t="inlineStr"/>
      <c r="N111" s="15" t="inlineStr"/>
      <c r="O111" s="15" t="inlineStr"/>
      <c r="P111" s="14" t="inlineStr"/>
    </row>
    <row r="112" ht="60" customHeight="1">
      <c r="A112" s="11" t="inlineStr">
        <is>
          <t>PAT-111</t>
        </is>
      </c>
      <c r="B112" s="12" t="inlineStr">
        <is>
          <t>Patient Edit - Required Name</t>
        </is>
      </c>
      <c r="C112" s="12" t="inlineStr">
        <is>
          <t>Full Name is required on edit</t>
        </is>
      </c>
      <c r="D112" s="19" t="inlineStr">
        <is>
          <t>Medium</t>
        </is>
      </c>
      <c r="E112" s="12" t="inlineStr">
        <is>
          <t>Validation</t>
        </is>
      </c>
      <c r="F112" s="12" t="inlineStr">
        <is>
          <t>Edit screen open.</t>
        </is>
      </c>
      <c r="G112" s="12" t="inlineStr">
        <is>
          <t>1. Clear Full Name and click Save Changes</t>
        </is>
      </c>
      <c r="H112" s="12" t="inlineStr">
        <is>
          <t>Full Name = (blank)</t>
        </is>
      </c>
      <c r="I112" s="12" t="inlineStr">
        <is>
          <t>The Full Name field is marked required; saving with it blank should be prevented or rejected by the backend with a visible error (no silent blank save).</t>
        </is>
      </c>
      <c r="J112" s="12" t="inlineStr">
        <is>
          <t>PUT /api/patients/:id</t>
        </is>
      </c>
      <c r="K112" s="14" t="inlineStr"/>
      <c r="L112" s="15" t="inlineStr">
        <is>
          <t>Not Executed</t>
        </is>
      </c>
      <c r="M112" s="15" t="inlineStr"/>
      <c r="N112" s="15" t="inlineStr"/>
      <c r="O112" s="15" t="inlineStr"/>
      <c r="P112" s="14" t="inlineStr"/>
    </row>
    <row r="113" ht="60" customHeight="1">
      <c r="A113" s="16" t="inlineStr">
        <is>
          <t>PAT-112</t>
        </is>
      </c>
      <c r="B113" s="17" t="inlineStr">
        <is>
          <t>Patient Edit - Phone Normalisation</t>
        </is>
      </c>
      <c r="C113" s="17" t="inlineStr">
        <is>
          <t>Phone fields strip non-digits, cap at 10, and store +91</t>
        </is>
      </c>
      <c r="D113" s="18" t="inlineStr">
        <is>
          <t>Medium</t>
        </is>
      </c>
      <c r="E113" s="17" t="inlineStr">
        <is>
          <t>Validation</t>
        </is>
      </c>
      <c r="F113" s="17" t="inlineStr">
        <is>
          <t>Edit screen open.</t>
        </is>
      </c>
      <c r="G113" s="17" t="inlineStr">
        <is>
          <t>1. Type 'abc91234567890' into Phone Number
2. Save and re-open the edit screen</t>
        </is>
      </c>
      <c r="H113" s="17" t="inlineStr">
        <is>
          <t>abc91234567890</t>
        </is>
      </c>
      <c r="I113" s="17" t="inlineStr">
        <is>
          <t>Input shows only 10 digits (9123456789); on save it is stored as +919123456789. Re-opening shows the 10 digits without the +91 prefix.</t>
        </is>
      </c>
      <c r="J113" s="17" t="inlineStr">
        <is>
          <t>PUT /api/patients/:id</t>
        </is>
      </c>
      <c r="K113" s="14" t="inlineStr"/>
      <c r="L113" s="15" t="inlineStr">
        <is>
          <t>Not Executed</t>
        </is>
      </c>
      <c r="M113" s="15" t="inlineStr"/>
      <c r="N113" s="15" t="inlineStr"/>
      <c r="O113" s="15" t="inlineStr"/>
      <c r="P113" s="14" t="inlineStr"/>
    </row>
    <row r="114" ht="60" customHeight="1">
      <c r="A114" s="11" t="inlineStr">
        <is>
          <t>PAT-113</t>
        </is>
      </c>
      <c r="B114" s="12" t="inlineStr">
        <is>
          <t>Patient Edit - Update Happy Path</t>
        </is>
      </c>
      <c r="C114" s="12" t="inlineStr">
        <is>
          <t>Edit demographics and save successfully with redirect</t>
        </is>
      </c>
      <c r="D114" s="13" t="inlineStr">
        <is>
          <t>High</t>
        </is>
      </c>
      <c r="E114" s="12" t="inlineStr">
        <is>
          <t>Functional</t>
        </is>
      </c>
      <c r="F114" s="12" t="inlineStr">
        <is>
          <t>Edit screen open.</t>
        </is>
      </c>
      <c r="G114" s="12" t="inlineStr">
        <is>
          <t>1. Change diagnosis, gender and add an alternative phone+relationship
2. Click Save Changes</t>
        </is>
      </c>
      <c r="H114" s="12" t="inlineStr">
        <is>
          <t>Diagnosis='Lung cancer', Alt='9123456780', Name='Sita (Wife)'</t>
        </is>
      </c>
      <c r="I114" s="12" t="inlineStr">
        <is>
          <t>PUT /api/patients/:id succeeds; a green 'Patient updated successfully!' alert shows; after ~0.8s it redirects to /patients/:id where changes are reflected.</t>
        </is>
      </c>
      <c r="J114" s="12" t="inlineStr">
        <is>
          <t>PUT /api/patients/:id</t>
        </is>
      </c>
      <c r="K114" s="14" t="inlineStr"/>
      <c r="L114" s="15" t="inlineStr">
        <is>
          <t>Not Executed</t>
        </is>
      </c>
      <c r="M114" s="15" t="inlineStr"/>
      <c r="N114" s="15" t="inlineStr"/>
      <c r="O114" s="15" t="inlineStr"/>
      <c r="P114" s="14" t="inlineStr"/>
    </row>
    <row r="115" ht="45" customHeight="1">
      <c r="A115" s="16" t="inlineStr">
        <is>
          <t>PAT-114</t>
        </is>
      </c>
      <c r="B115" s="17" t="inlineStr">
        <is>
          <t>Patient Edit - Category Derivation</t>
        </is>
      </c>
      <c r="C115" s="17" t="inlineStr">
        <is>
          <t>Editing Patient Category updates bsc_status + is_onco</t>
        </is>
      </c>
      <c r="D115" s="18" t="inlineStr">
        <is>
          <t>Medium</t>
        </is>
      </c>
      <c r="E115" s="17" t="inlineStr">
        <is>
          <t>Functional</t>
        </is>
      </c>
      <c r="F115" s="17" t="inlineStr">
        <is>
          <t>Edit screen open.</t>
        </is>
      </c>
      <c r="G115" s="17" t="inlineStr">
        <is>
          <t>1. Change Patient Category to 'Non-BSC Onco' and save</t>
        </is>
      </c>
      <c r="H115" s="17" t="inlineStr">
        <is>
          <t>Non-BSC Onco</t>
        </is>
      </c>
      <c r="I115" s="17" t="inlineStr">
        <is>
          <t>PUT sends bsc_status=false,is_onco=true; the detail page chips show N-BSC + Onco afterwards.</t>
        </is>
      </c>
      <c r="J115" s="17" t="inlineStr">
        <is>
          <t>PUT /api/patients/:id</t>
        </is>
      </c>
      <c r="K115" s="14" t="inlineStr"/>
      <c r="L115" s="15" t="inlineStr">
        <is>
          <t>Not Executed</t>
        </is>
      </c>
      <c r="M115" s="15" t="inlineStr"/>
      <c r="N115" s="15" t="inlineStr"/>
      <c r="O115" s="15" t="inlineStr"/>
      <c r="P115" s="14" t="inlineStr"/>
    </row>
    <row r="116" ht="75" customHeight="1">
      <c r="A116" s="11" t="inlineStr">
        <is>
          <t>PAT-115</t>
        </is>
      </c>
      <c r="B116" s="12" t="inlineStr">
        <is>
          <t>Patient Edit - Bangalore Toggle</t>
        </is>
      </c>
      <c r="C116" s="12" t="inlineStr">
        <is>
          <t>Toggling Bangalore Resident reveals/clears zone + hospital</t>
        </is>
      </c>
      <c r="D116" s="19" t="inlineStr">
        <is>
          <t>Medium</t>
        </is>
      </c>
      <c r="E116" s="12" t="inlineStr">
        <is>
          <t>Functional</t>
        </is>
      </c>
      <c r="F116" s="12" t="inlineStr">
        <is>
          <t>Edit screen open; patient currently non-Bangalore.</t>
        </is>
      </c>
      <c r="G116" s="12" t="inlineStr">
        <is>
          <t>1. Turn on 'Bangalore Resident'
2. Set zone South and a linked hospital, save
3. Turn it off again and save</t>
        </is>
      </c>
      <c r="H116" s="12" t="inlineStr">
        <is>
          <t>Zone=South, Hospital=KMIO</t>
        </is>
      </c>
      <c r="I116" s="12" t="inlineStr">
        <is>
          <t>Turning on shows Bangalore Zone + Linked Hospital (defaults KMIO). Saving sends geographic_cluster + linked_hospital. Turning off clears both fields and the save omits them (or nulls them).</t>
        </is>
      </c>
      <c r="J116" s="12" t="inlineStr">
        <is>
          <t>PUT /api/patients/:id</t>
        </is>
      </c>
      <c r="K116" s="14" t="inlineStr"/>
      <c r="L116" s="15" t="inlineStr">
        <is>
          <t>Not Executed</t>
        </is>
      </c>
      <c r="M116" s="15" t="inlineStr"/>
      <c r="N116" s="15" t="inlineStr"/>
      <c r="O116" s="15" t="inlineStr"/>
      <c r="P116" s="14" t="inlineStr"/>
    </row>
    <row r="117" ht="45" customHeight="1">
      <c r="A117" s="16" t="inlineStr">
        <is>
          <t>PAT-116</t>
        </is>
      </c>
      <c r="B117" s="17" t="inlineStr">
        <is>
          <t>Patient Edit - Inline Add Hospital</t>
        </is>
      </c>
      <c r="C117" s="17" t="inlineStr">
        <is>
          <t>Add a new hospital inline from the Edit screen</t>
        </is>
      </c>
      <c r="D117" s="22" t="inlineStr">
        <is>
          <t>Low</t>
        </is>
      </c>
      <c r="E117" s="17" t="inlineStr">
        <is>
          <t>Functional</t>
        </is>
      </c>
      <c r="F117" s="17" t="inlineStr">
        <is>
          <t>Edit screen; Bangalore resident on.</t>
        </is>
      </c>
      <c r="G117" s="17" t="inlineStr">
        <is>
          <t>1. Click + next to Linked Hospital, add code 'BGH' + name, click Add</t>
        </is>
      </c>
      <c r="H117" s="17" t="inlineStr">
        <is>
          <t>Code=BGH, Name=Baptist General</t>
        </is>
      </c>
      <c r="I117" s="17" t="inlineStr">
        <is>
          <t>POST /api/patients/config/hospital-options adds the hospital and auto-selects it in Linked Hospital.</t>
        </is>
      </c>
      <c r="J117" s="17" t="inlineStr">
        <is>
          <t>POST /api/patients/config/hospital-options</t>
        </is>
      </c>
      <c r="K117" s="14" t="inlineStr"/>
      <c r="L117" s="15" t="inlineStr">
        <is>
          <t>Not Executed</t>
        </is>
      </c>
      <c r="M117" s="15" t="inlineStr"/>
      <c r="N117" s="15" t="inlineStr"/>
      <c r="O117" s="15" t="inlineStr"/>
      <c r="P117" s="14" t="inlineStr"/>
    </row>
    <row r="118" ht="75" customHeight="1">
      <c r="A118" s="11" t="inlineStr">
        <is>
          <t>PAT-117</t>
        </is>
      </c>
      <c r="B118" s="12" t="inlineStr">
        <is>
          <t>Patient Edit - Care Status</t>
        </is>
      </c>
      <c r="C118" s="12" t="inlineStr">
        <is>
          <t>Change care status between Active and Inactive (alive patient)</t>
        </is>
      </c>
      <c r="D118" s="19" t="inlineStr">
        <is>
          <t>Medium</t>
        </is>
      </c>
      <c r="E118" s="12" t="inlineStr">
        <is>
          <t>Functional</t>
        </is>
      </c>
      <c r="F118" s="12" t="inlineStr">
        <is>
          <t>Edit screen; alive patient.</t>
        </is>
      </c>
      <c r="G118" s="12" t="inlineStr">
        <is>
          <t>1. Set Care Status = 'Alive &amp; Inactive' and save
2. Reopen and set back to 'Alive &amp; Active'</t>
        </is>
      </c>
      <c r="H118" s="12" t="inlineStr">
        <is>
          <t>inactive / active</t>
        </is>
      </c>
      <c r="I118" s="12" t="inlineStr">
        <is>
          <t>PUT sends care_status accordingly (only when not deceased). The detail header chip reflects 'Alive &amp; Inactive' / 'Alive &amp; Active'. Inactive patients drop out of the scheduling pool.</t>
        </is>
      </c>
      <c r="J118" s="12" t="inlineStr">
        <is>
          <t>PUT /api/patients/:id</t>
        </is>
      </c>
      <c r="K118" s="14" t="inlineStr"/>
      <c r="L118" s="15" t="inlineStr">
        <is>
          <t>Not Executed</t>
        </is>
      </c>
      <c r="M118" s="15" t="inlineStr"/>
      <c r="N118" s="15" t="inlineStr"/>
      <c r="O118" s="15" t="inlineStr"/>
      <c r="P118" s="14" t="inlineStr"/>
    </row>
    <row r="119" ht="75" customHeight="1">
      <c r="A119" s="16" t="inlineStr">
        <is>
          <t>PAT-118</t>
        </is>
      </c>
      <c r="B119" s="17" t="inlineStr">
        <is>
          <t>Patient Edit - Mark Deceased from Edit</t>
        </is>
      </c>
      <c r="C119" s="17" t="inlineStr">
        <is>
          <t>Mark as Deceased from the Edit screen</t>
        </is>
      </c>
      <c r="D119" s="21" t="inlineStr">
        <is>
          <t>High</t>
        </is>
      </c>
      <c r="E119" s="17" t="inlineStr">
        <is>
          <t>Functional</t>
        </is>
      </c>
      <c r="F119" s="17" t="inlineStr">
        <is>
          <t>Edit screen; alive patient.</t>
        </is>
      </c>
      <c r="G119" s="17" t="inlineStr">
        <is>
          <t>1. Click 'Mark as Deceased'
2. Set date + place in the dialog, confirm</t>
        </is>
      </c>
      <c r="H119" s="17" t="inlineStr">
        <is>
          <t>DoD=2026-05-30, Place=Hospital</t>
        </is>
      </c>
      <c r="I119" s="17" t="inlineStr">
        <is>
          <t>MarkDeceasedDialog saves via PUT /api/patients/:id (is_deceased=true). The Patient Status section switches to the 'Marked as Deceased' read-only summary with an 'Edit Death Record' button.</t>
        </is>
      </c>
      <c r="J119" s="17" t="inlineStr">
        <is>
          <t>PUT /api/patients/:id</t>
        </is>
      </c>
      <c r="K119" s="14" t="inlineStr"/>
      <c r="L119" s="15" t="inlineStr">
        <is>
          <t>Not Executed</t>
        </is>
      </c>
      <c r="M119" s="15" t="inlineStr"/>
      <c r="N119" s="15" t="inlineStr"/>
      <c r="O119" s="15" t="inlineStr"/>
      <c r="P119" s="14" t="inlineStr"/>
    </row>
    <row r="120" ht="30" customHeight="1">
      <c r="A120" s="11" t="inlineStr">
        <is>
          <t>PAT-119</t>
        </is>
      </c>
      <c r="B120" s="12" t="inlineStr">
        <is>
          <t>Patient Edit - Cancel</t>
        </is>
      </c>
      <c r="C120" s="12" t="inlineStr">
        <is>
          <t>Cancel returns to detail without saving</t>
        </is>
      </c>
      <c r="D120" s="20" t="inlineStr">
        <is>
          <t>Low</t>
        </is>
      </c>
      <c r="E120" s="12" t="inlineStr">
        <is>
          <t>UI/UX</t>
        </is>
      </c>
      <c r="F120" s="12" t="inlineStr">
        <is>
          <t>Edit screen with unsaved changes.</t>
        </is>
      </c>
      <c r="G120" s="12" t="inlineStr">
        <is>
          <t>1. Make an edit then click Cancel (or Back to Patient)</t>
        </is>
      </c>
      <c r="H120" s="12" t="inlineStr">
        <is>
          <t>N/A</t>
        </is>
      </c>
      <c r="I120" s="12" t="inlineStr">
        <is>
          <t>Navigates back to /patients/:id; no PUT is sent and the change is discarded.</t>
        </is>
      </c>
      <c r="J120" s="12" t="inlineStr">
        <is>
          <t>N/A</t>
        </is>
      </c>
      <c r="K120" s="14" t="inlineStr"/>
      <c r="L120" s="15" t="inlineStr">
        <is>
          <t>Not Executed</t>
        </is>
      </c>
      <c r="M120" s="15" t="inlineStr"/>
      <c r="N120" s="15" t="inlineStr"/>
      <c r="O120" s="15" t="inlineStr"/>
      <c r="P120" s="14" t="inlineStr"/>
    </row>
    <row r="121" ht="30" customHeight="1">
      <c r="A121" s="16" t="inlineStr">
        <is>
          <t>PAT-120</t>
        </is>
      </c>
      <c r="B121" s="17" t="inlineStr">
        <is>
          <t>Patient Edit - Not Found</t>
        </is>
      </c>
      <c r="C121" s="17" t="inlineStr">
        <is>
          <t>Edit URL for a missing patient shows 'Patient not found'</t>
        </is>
      </c>
      <c r="D121" s="18" t="inlineStr">
        <is>
          <t>Medium</t>
        </is>
      </c>
      <c r="E121" s="17" t="inlineStr">
        <is>
          <t>Negative</t>
        </is>
      </c>
      <c r="F121" s="17" t="inlineStr">
        <is>
          <t>Logged in.</t>
        </is>
      </c>
      <c r="G121" s="17" t="inlineStr">
        <is>
          <t>1. Open /patients/&lt;non-existent-uuid&gt;/edit</t>
        </is>
      </c>
      <c r="H121" s="17" t="inlineStr">
        <is>
          <t>N/A</t>
        </is>
      </c>
      <c r="I121" s="17" t="inlineStr">
        <is>
          <t>Loading resolves to a 'Patient not found' error state; no editable form is shown.</t>
        </is>
      </c>
      <c r="J121" s="17" t="inlineStr">
        <is>
          <t>GET /api/patients/:id</t>
        </is>
      </c>
      <c r="K121" s="14" t="inlineStr"/>
      <c r="L121" s="15" t="inlineStr">
        <is>
          <t>Not Executed</t>
        </is>
      </c>
      <c r="M121" s="15" t="inlineStr"/>
      <c r="N121" s="15" t="inlineStr"/>
      <c r="O121" s="15" t="inlineStr"/>
      <c r="P121" s="14" t="inlineStr"/>
    </row>
    <row r="122" ht="60" customHeight="1">
      <c r="A122" s="11" t="inlineStr">
        <is>
          <t>PAT-121</t>
        </is>
      </c>
      <c r="B122" s="12" t="inlineStr">
        <is>
          <t>Mark Deceased Dialog - Date Required</t>
        </is>
      </c>
      <c r="C122" s="12" t="inlineStr">
        <is>
          <t>Mark Deceased requires a date of death</t>
        </is>
      </c>
      <c r="D122" s="13" t="inlineStr">
        <is>
          <t>High</t>
        </is>
      </c>
      <c r="E122" s="12" t="inlineStr">
        <is>
          <t>Validation</t>
        </is>
      </c>
      <c r="F122" s="12" t="inlineStr">
        <is>
          <t>Mark Deceased dialog open from header.</t>
        </is>
      </c>
      <c r="G122" s="12" t="inlineStr">
        <is>
          <t>1. Clear the date field
2. Observe the Confirm Death button and try to save</t>
        </is>
      </c>
      <c r="H122" s="12" t="inlineStr">
        <is>
          <t>Date = (blank)</t>
        </is>
      </c>
      <c r="I122" s="12" t="inlineStr">
        <is>
          <t>Confirm Death is disabled when date is blank; if forced, an error 'Date of death is required' shows. Date input caps at today (no future deaths).</t>
        </is>
      </c>
      <c r="J122" s="12" t="inlineStr">
        <is>
          <t>PUT /api/patients/:id</t>
        </is>
      </c>
      <c r="K122" s="14" t="inlineStr"/>
      <c r="L122" s="15" t="inlineStr">
        <is>
          <t>Not Executed</t>
        </is>
      </c>
      <c r="M122" s="15" t="inlineStr"/>
      <c r="N122" s="15" t="inlineStr"/>
      <c r="O122" s="15" t="inlineStr"/>
      <c r="P122" s="14" t="inlineStr"/>
    </row>
    <row r="123" ht="45" customHeight="1">
      <c r="A123" s="16" t="inlineStr">
        <is>
          <t>PAT-122</t>
        </is>
      </c>
      <c r="B123" s="17" t="inlineStr">
        <is>
          <t>Mark Deceased Dialog - Others Remark</t>
        </is>
      </c>
      <c r="C123" s="17" t="inlineStr">
        <is>
          <t>Place 'Others' requires remarks in the dialog</t>
        </is>
      </c>
      <c r="D123" s="18" t="inlineStr">
        <is>
          <t>Medium</t>
        </is>
      </c>
      <c r="E123" s="17" t="inlineStr">
        <is>
          <t>Validation</t>
        </is>
      </c>
      <c r="F123" s="17" t="inlineStr">
        <is>
          <t>Mark Deceased dialog open with a valid date.</t>
        </is>
      </c>
      <c r="G123" s="17" t="inlineStr">
        <is>
          <t>1. Select Place = Others, leave Remarks blank, click Confirm Death</t>
        </is>
      </c>
      <c r="H123" s="17" t="inlineStr">
        <is>
          <t>Place=Others, Remarks=(blank)</t>
        </is>
      </c>
      <c r="I123" s="17" t="inlineStr">
        <is>
          <t>Error 'Please describe the place of death in Remarks'; save blocked until remarks are entered.</t>
        </is>
      </c>
      <c r="J123" s="17" t="inlineStr">
        <is>
          <t>PUT /api/patients/:id</t>
        </is>
      </c>
      <c r="K123" s="14" t="inlineStr"/>
      <c r="L123" s="15" t="inlineStr">
        <is>
          <t>Not Executed</t>
        </is>
      </c>
      <c r="M123" s="15" t="inlineStr"/>
      <c r="N123" s="15" t="inlineStr"/>
      <c r="O123" s="15" t="inlineStr"/>
      <c r="P123" s="14" t="inlineStr"/>
    </row>
    <row r="124" ht="60" customHeight="1">
      <c r="A124" s="11" t="inlineStr">
        <is>
          <t>PAT-123</t>
        </is>
      </c>
      <c r="B124" s="12" t="inlineStr">
        <is>
          <t>Mark Deceased Dialog - Edit Mode</t>
        </is>
      </c>
      <c r="C124" s="12" t="inlineStr">
        <is>
          <t>Re-opening for a deceased patient pre-fills and titles 'Edit Death Record'</t>
        </is>
      </c>
      <c r="D124" s="19" t="inlineStr">
        <is>
          <t>Medium</t>
        </is>
      </c>
      <c r="E124" s="12" t="inlineStr">
        <is>
          <t>Functional</t>
        </is>
      </c>
      <c r="F124" s="12" t="inlineStr">
        <is>
          <t>A deceased patient open.</t>
        </is>
      </c>
      <c r="G124" s="12" t="inlineStr">
        <is>
          <t>1. Click the flower icon in the header (tooltip 'Edit death record')
2. Observe pre-filled date/place/remarks and the dialog title/button</t>
        </is>
      </c>
      <c r="H124" s="12" t="inlineStr">
        <is>
          <t>N/A</t>
        </is>
      </c>
      <c r="I124" s="12" t="inlineStr">
        <is>
          <t>Dialog title 'Edit Death Record', button 'Update', and fields pre-filled with existing date/place/remarks. Saving updates the record.</t>
        </is>
      </c>
      <c r="J124" s="12" t="inlineStr">
        <is>
          <t>PUT /api/patients/:id</t>
        </is>
      </c>
      <c r="K124" s="14" t="inlineStr"/>
      <c r="L124" s="15" t="inlineStr">
        <is>
          <t>Not Executed</t>
        </is>
      </c>
      <c r="M124" s="15" t="inlineStr"/>
      <c r="N124" s="15" t="inlineStr"/>
      <c r="O124" s="15" t="inlineStr"/>
      <c r="P124" s="14" t="inlineStr"/>
    </row>
    <row r="125" ht="75" customHeight="1">
      <c r="A125" s="16" t="inlineStr">
        <is>
          <t>PAT-124</t>
        </is>
      </c>
      <c r="B125" s="17" t="inlineStr">
        <is>
          <t>Mark Deceased Dialog - Cross-Module Reflect</t>
        </is>
      </c>
      <c r="C125" s="17" t="inlineStr">
        <is>
          <t>Marking deceased reflects on list cards and removes from scheduling</t>
        </is>
      </c>
      <c r="D125" s="21" t="inlineStr">
        <is>
          <t>High</t>
        </is>
      </c>
      <c r="E125" s="17" t="inlineStr">
        <is>
          <t>Data Integrity</t>
        </is>
      </c>
      <c r="F125" s="17" t="inlineStr">
        <is>
          <t>Alive patient appears in /patients list and the scheduling pool.</t>
        </is>
      </c>
      <c r="G125" s="17" t="inlineStr">
        <is>
          <t>1. Mark the patient deceased via the dialog
2. Return to /patients (grid + table) and check the scheduling pool/day map</t>
        </is>
      </c>
      <c r="H125" s="17" t="inlineStr">
        <is>
          <t>N/A</t>
        </is>
      </c>
      <c r="I125" s="17" t="inlineStr">
        <is>
          <t>The patient card/row shows a 'Deceased' badge; the detail header shows the Deceased chip; the patient no longer appears in the active scheduling pool (care_status auto-demoted to inactive by the backend).</t>
        </is>
      </c>
      <c r="J125" s="17" t="inlineStr">
        <is>
          <t>PUT /api/patients/:id</t>
        </is>
      </c>
      <c r="K125" s="14" t="inlineStr"/>
      <c r="L125" s="15" t="inlineStr">
        <is>
          <t>Not Executed</t>
        </is>
      </c>
      <c r="M125" s="15" t="inlineStr"/>
      <c r="N125" s="15" t="inlineStr"/>
      <c r="O125" s="15" t="inlineStr"/>
      <c r="P125" s="14" t="inlineStr"/>
    </row>
    <row r="126" ht="60" customHeight="1">
      <c r="A126" s="11" t="inlineStr">
        <is>
          <t>PAT-125</t>
        </is>
      </c>
      <c r="B126" s="12" t="inlineStr">
        <is>
          <t>Data Integrity - New Patient Propagation</t>
        </is>
      </c>
      <c r="C126" s="12" t="inlineStr">
        <is>
          <t>A newly created patient appears in list, search and selector</t>
        </is>
      </c>
      <c r="D126" s="13" t="inlineStr">
        <is>
          <t>High</t>
        </is>
      </c>
      <c r="E126" s="12" t="inlineStr">
        <is>
          <t>Data Integrity</t>
        </is>
      </c>
      <c r="F126" s="12" t="inlineStr">
        <is>
          <t>Register a new patient (PAT-041).</t>
        </is>
      </c>
      <c r="G126" s="12" t="inlineStr">
        <is>
          <t>1. After creation, view the /patients list
2. Search by the new patient's name
3. Open a flow using PatientSelector/PatientSearch and search for the patient</t>
        </is>
      </c>
      <c r="H126" s="12" t="inlineStr">
        <is>
          <t>Lakshmi Devi</t>
        </is>
      </c>
      <c r="I126" s="12" t="inlineStr">
        <is>
          <t>The new patient appears in the list (count incremented), is found by search, and shows up in the PatientSearch autocomplete (&gt;=2 chars) and PatientSelector results.</t>
        </is>
      </c>
      <c r="J126" s="12" t="inlineStr">
        <is>
          <t>GET /api/patients</t>
        </is>
      </c>
      <c r="K126" s="14" t="inlineStr"/>
      <c r="L126" s="15" t="inlineStr">
        <is>
          <t>Not Executed</t>
        </is>
      </c>
      <c r="M126" s="15" t="inlineStr"/>
      <c r="N126" s="15" t="inlineStr"/>
      <c r="O126" s="15" t="inlineStr"/>
      <c r="P126" s="14" t="inlineStr"/>
    </row>
    <row r="127" ht="60" customHeight="1">
      <c r="A127" s="16" t="inlineStr">
        <is>
          <t>PAT-126</t>
        </is>
      </c>
      <c r="B127" s="17" t="inlineStr">
        <is>
          <t>Data Integrity - PPS Sync Across Surfaces</t>
        </is>
      </c>
      <c r="C127" s="17" t="inlineStr">
        <is>
          <t>PPS recorded on Overview reflects on header, edit screen and Trends</t>
        </is>
      </c>
      <c r="D127" s="21" t="inlineStr">
        <is>
          <t>High</t>
        </is>
      </c>
      <c r="E127" s="17" t="inlineStr">
        <is>
          <t>Data Integrity</t>
        </is>
      </c>
      <c r="F127" s="17" t="inlineStr">
        <is>
          <t>Patient open.</t>
        </is>
      </c>
      <c r="G127" s="17" t="inlineStr">
        <is>
          <t>1. Record PPS 30 via the PPS card
2. Check the header Priority chip, the Edit screen Priority field, and the Trends PPS chart</t>
        </is>
      </c>
      <c r="H127" s="17" t="inlineStr">
        <is>
          <t>PPS=30</t>
        </is>
      </c>
      <c r="I127" s="17" t="inlineStr">
        <is>
          <t>Header chip shows Priority: High; Edit screen 'Patient Priority' shows high with helper text referencing the PPS %; Trends PPS chart adds the new data point.</t>
        </is>
      </c>
      <c r="J127" s="17" t="inlineStr">
        <is>
          <t>POST /api/patients/:id/pps; GET /api/patients/:id</t>
        </is>
      </c>
      <c r="K127" s="14" t="inlineStr"/>
      <c r="L127" s="15" t="inlineStr">
        <is>
          <t>Not Executed</t>
        </is>
      </c>
      <c r="M127" s="15" t="inlineStr"/>
      <c r="N127" s="15" t="inlineStr"/>
      <c r="O127" s="15" t="inlineStr"/>
      <c r="P127" s="14" t="inlineStr"/>
    </row>
    <row r="128" ht="30" customHeight="1">
      <c r="A128" s="11" t="inlineStr">
        <is>
          <t>PAT-127</t>
        </is>
      </c>
      <c r="B128" s="12" t="inlineStr">
        <is>
          <t>API - Per-page Cap</t>
        </is>
      </c>
      <c r="C128" s="12" t="inlineStr">
        <is>
          <t>List per_page is capped at 100 server-side</t>
        </is>
      </c>
      <c r="D128" s="20" t="inlineStr">
        <is>
          <t>Low</t>
        </is>
      </c>
      <c r="E128" s="12" t="inlineStr">
        <is>
          <t>API</t>
        </is>
      </c>
      <c r="F128" s="12" t="inlineStr">
        <is>
          <t>API access (logged in).</t>
        </is>
      </c>
      <c r="G128" s="12" t="inlineStr">
        <is>
          <t>1. Call GET /api/patients?per_page=500</t>
        </is>
      </c>
      <c r="H128" s="12" t="inlineStr">
        <is>
          <t>per_page=500</t>
        </is>
      </c>
      <c r="I128" s="12" t="inlineStr">
        <is>
          <t>Response per_page is clamped to 100; total_pages computed accordingly; no error.</t>
        </is>
      </c>
      <c r="J128" s="12" t="inlineStr">
        <is>
          <t>GET /api/patients</t>
        </is>
      </c>
      <c r="K128" s="14" t="inlineStr"/>
      <c r="L128" s="15" t="inlineStr">
        <is>
          <t>Not Executed</t>
        </is>
      </c>
      <c r="M128" s="15" t="inlineStr"/>
      <c r="N128" s="15" t="inlineStr"/>
      <c r="O128" s="15" t="inlineStr"/>
      <c r="P128" s="14" t="inlineStr"/>
    </row>
    <row r="129" ht="45" customHeight="1">
      <c r="A129" s="16" t="inlineStr">
        <is>
          <t>PAT-128</t>
        </is>
      </c>
      <c r="B129" s="17" t="inlineStr">
        <is>
          <t>API - Duplicate Check Response</t>
        </is>
      </c>
      <c r="C129" s="17" t="inlineStr">
        <is>
          <t>Duplicate-check returns false for a brand-new ABHA address</t>
        </is>
      </c>
      <c r="D129" s="18" t="inlineStr">
        <is>
          <t>Medium</t>
        </is>
      </c>
      <c r="E129" s="17" t="inlineStr">
        <is>
          <t>API</t>
        </is>
      </c>
      <c r="F129" s="17" t="inlineStr">
        <is>
          <t>API access.</t>
        </is>
      </c>
      <c r="G129" s="17" t="inlineStr">
        <is>
          <t>1. POST /api/patients/duplicate-check with a never-used abha_address</t>
        </is>
      </c>
      <c r="H129" s="17" t="inlineStr">
        <is>
          <t>{"abha_address":"newuser.unique@abdm"}</t>
        </is>
      </c>
      <c r="I129" s="17" t="inlineStr">
        <is>
          <t>200 with {"duplicate_found": false}; for an existing one it returns {"duplicate_found": true, "patient": {...}}.</t>
        </is>
      </c>
      <c r="J129" s="17" t="inlineStr">
        <is>
          <t>POST /api/patients/duplicate-check</t>
        </is>
      </c>
      <c r="K129" s="14" t="inlineStr"/>
      <c r="L129" s="15" t="inlineStr">
        <is>
          <t>Not Executed</t>
        </is>
      </c>
      <c r="M129" s="15" t="inlineStr"/>
      <c r="N129" s="15" t="inlineStr"/>
      <c r="O129" s="15" t="inlineStr"/>
      <c r="P129" s="14" t="inlineStr"/>
    </row>
    <row r="130" ht="60" customHeight="1">
      <c r="A130" s="11" t="inlineStr">
        <is>
          <t>PAT-129</t>
        </is>
      </c>
      <c r="B130" s="12" t="inlineStr">
        <is>
          <t>API - UHID Preview Invalid Params</t>
        </is>
      </c>
      <c r="C130" s="12" t="inlineStr">
        <is>
          <t>UHID preview rejects missing/invalid zone or hospital</t>
        </is>
      </c>
      <c r="D130" s="19" t="inlineStr">
        <is>
          <t>Medium</t>
        </is>
      </c>
      <c r="E130" s="12" t="inlineStr">
        <is>
          <t>API</t>
        </is>
      </c>
      <c r="F130" s="12" t="inlineStr">
        <is>
          <t>API access.</t>
        </is>
      </c>
      <c r="G130" s="12" t="inlineStr">
        <is>
          <t>1. GET /api/patients/uhid/preview with no zone
2. GET with zone=Atlantis
3. GET with a valid zone but hospital=ZZZ</t>
        </is>
      </c>
      <c r="H130" s="12" t="inlineStr">
        <is>
          <t>zone omitted; zone=Atlantis; hospital=ZZZ</t>
        </is>
      </c>
      <c r="I130" s="12" t="inlineStr">
        <is>
          <t>Missing zone -&gt; 400 missing_zone; invalid zone -&gt; 400 invalid_zone (lists valid zones); invalid hospital -&gt; 400 invalid_hospital.</t>
        </is>
      </c>
      <c r="J130" s="12" t="inlineStr">
        <is>
          <t>GET /api/patients/uhid/preview</t>
        </is>
      </c>
      <c r="K130" s="14" t="inlineStr"/>
      <c r="L130" s="15" t="inlineStr">
        <is>
          <t>Not Executed</t>
        </is>
      </c>
      <c r="M130" s="15" t="inlineStr"/>
      <c r="N130" s="15" t="inlineStr"/>
      <c r="O130" s="15" t="inlineStr"/>
      <c r="P130" s="14" t="inlineStr"/>
    </row>
    <row r="131" ht="60" customHeight="1">
      <c r="A131" s="16" t="inlineStr">
        <is>
          <t>PAT-130</t>
        </is>
      </c>
      <c r="B131" s="17" t="inlineStr">
        <is>
          <t>API - Patient PPS Bounds</t>
        </is>
      </c>
      <c r="C131" s="17" t="inlineStr">
        <is>
          <t>POST patient PPS rejects out-of-range / non-integer scores</t>
        </is>
      </c>
      <c r="D131" s="18" t="inlineStr">
        <is>
          <t>Medium</t>
        </is>
      </c>
      <c r="E131" s="17" t="inlineStr">
        <is>
          <t>API</t>
        </is>
      </c>
      <c r="F131" s="17" t="inlineStr">
        <is>
          <t>API access; a valid patient id.</t>
        </is>
      </c>
      <c r="G131" s="17" t="inlineStr">
        <is>
          <t>1. POST /api/patients/:id/pps with pps_score=120
2. POST with pps_score='abc'
3. POST with pps_score=null</t>
        </is>
      </c>
      <c r="H131" s="17" t="inlineStr">
        <is>
          <t>120 ; 'abc' ; null</t>
        </is>
      </c>
      <c r="I131" s="17" t="inlineStr">
        <is>
          <t>120 -&gt; 400 'pps_score must be 0-100'; 'abc' -&gt; 400 'pps_score must be an integer 0-100'; null -&gt; 400. A valid 0-100 returns 201 with pps + priority.</t>
        </is>
      </c>
      <c r="J131" s="17" t="inlineStr">
        <is>
          <t>POST /api/patients/:id/pps</t>
        </is>
      </c>
      <c r="K131" s="14" t="inlineStr"/>
      <c r="L131" s="15" t="inlineStr">
        <is>
          <t>Not Executed</t>
        </is>
      </c>
      <c r="M131" s="15" t="inlineStr"/>
      <c r="N131" s="15" t="inlineStr"/>
      <c r="O131" s="15" t="inlineStr"/>
      <c r="P131" s="14" t="inlineStr"/>
    </row>
    <row r="132" ht="30" customHeight="1">
      <c r="A132" s="11" t="inlineStr">
        <is>
          <t>PAT-131</t>
        </is>
      </c>
      <c r="B132" s="12" t="inlineStr">
        <is>
          <t>API - PPS Patient Not Found</t>
        </is>
      </c>
      <c r="C132" s="12" t="inlineStr">
        <is>
          <t>POST PPS for a non-existent patient returns 404</t>
        </is>
      </c>
      <c r="D132" s="20" t="inlineStr">
        <is>
          <t>Low</t>
        </is>
      </c>
      <c r="E132" s="12" t="inlineStr">
        <is>
          <t>API</t>
        </is>
      </c>
      <c r="F132" s="12" t="inlineStr">
        <is>
          <t>API access.</t>
        </is>
      </c>
      <c r="G132" s="12" t="inlineStr">
        <is>
          <t>1. POST /api/patients/&lt;missing-uuid&gt;/pps with pps_score=50</t>
        </is>
      </c>
      <c r="H132" s="12" t="inlineStr">
        <is>
          <t>missing uuid, pps_score=50</t>
        </is>
      </c>
      <c r="I132" s="12" t="inlineStr">
        <is>
          <t>404 'Patient not found'.</t>
        </is>
      </c>
      <c r="J132" s="12" t="inlineStr">
        <is>
          <t>POST /api/patients/:id/pps</t>
        </is>
      </c>
      <c r="K132" s="14" t="inlineStr"/>
      <c r="L132" s="15" t="inlineStr">
        <is>
          <t>Not Executed</t>
        </is>
      </c>
      <c r="M132" s="15" t="inlineStr"/>
      <c r="N132" s="15" t="inlineStr"/>
      <c r="O132" s="15" t="inlineStr"/>
      <c r="P132" s="14" t="inlineStr"/>
    </row>
    <row r="133" ht="45" customHeight="1">
      <c r="A133" s="16" t="inlineStr">
        <is>
          <t>PAT-132</t>
        </is>
      </c>
      <c r="B133" s="17" t="inlineStr">
        <is>
          <t>API - Zone Detect Missing Coords</t>
        </is>
      </c>
      <c r="C133" s="17" t="inlineStr">
        <is>
          <t>Zone detect requires lat and lng</t>
        </is>
      </c>
      <c r="D133" s="22" t="inlineStr">
        <is>
          <t>Low</t>
        </is>
      </c>
      <c r="E133" s="17" t="inlineStr">
        <is>
          <t>API</t>
        </is>
      </c>
      <c r="F133" s="17" t="inlineStr">
        <is>
          <t>API access.</t>
        </is>
      </c>
      <c r="G133" s="17" t="inlineStr">
        <is>
          <t>1. POST /api/patients/zones/detect with empty body
2. POST with valid Bangalore coords</t>
        </is>
      </c>
      <c r="H133" s="17" t="inlineStr">
        <is>
          <t>{} ; {"lat":12.97,"lng":77.59}</t>
        </is>
      </c>
      <c r="I133" s="17" t="inlineStr">
        <is>
          <t>Empty -&gt; 400 'lat and lng are required'. Valid coords -&gt; 200 {zone: 'Central'|...} or null if outside all GBA corporations.</t>
        </is>
      </c>
      <c r="J133" s="17" t="inlineStr">
        <is>
          <t>POST /api/patients/zones/detect</t>
        </is>
      </c>
      <c r="K133" s="14" t="inlineStr"/>
      <c r="L133" s="15" t="inlineStr">
        <is>
          <t>Not Executed</t>
        </is>
      </c>
      <c r="M133" s="15" t="inlineStr"/>
      <c r="N133" s="15" t="inlineStr"/>
      <c r="O133" s="15" t="inlineStr"/>
      <c r="P133" s="14" t="inlineStr"/>
    </row>
    <row r="134" ht="75" customHeight="1">
      <c r="A134" s="11" t="inlineStr">
        <is>
          <t>PAT-133</t>
        </is>
      </c>
      <c r="B134" s="12" t="inlineStr">
        <is>
          <t>API - Config Diagnosis Validation</t>
        </is>
      </c>
      <c r="C134" s="12" t="inlineStr">
        <is>
          <t>Diagnosis options config enforces duplicate/not-found rules</t>
        </is>
      </c>
      <c r="D134" s="20" t="inlineStr">
        <is>
          <t>Low</t>
        </is>
      </c>
      <c r="E134" s="12" t="inlineStr">
        <is>
          <t>API</t>
        </is>
      </c>
      <c r="F134" s="12" t="inlineStr">
        <is>
          <t>API access.</t>
        </is>
      </c>
      <c r="G134" s="12" t="inlineStr">
        <is>
          <t>1. POST diagnosis-options with an existing option
2. DELETE diagnosis-options for an option not in the list
3. PUT diagnosis-options with an empty array</t>
        </is>
      </c>
      <c r="H134" s="12" t="inlineStr">
        <is>
          <t>existing option; missing option; []</t>
        </is>
      </c>
      <c r="I134" s="12" t="inlineStr">
        <is>
          <t>Existing -&gt; 409 'Option already exists'; missing -&gt; 404 'Option not found'; empty array -&gt; 400 'options must be a non-empty array'.</t>
        </is>
      </c>
      <c r="J134" s="12" t="inlineStr">
        <is>
          <t>POST/DELETE/PUT /api/patients/config/diagnosis-options</t>
        </is>
      </c>
      <c r="K134" s="14" t="inlineStr"/>
      <c r="L134" s="15" t="inlineStr">
        <is>
          <t>Not Executed</t>
        </is>
      </c>
      <c r="M134" s="15" t="inlineStr"/>
      <c r="N134" s="15" t="inlineStr"/>
      <c r="O134" s="15" t="inlineStr"/>
      <c r="P134" s="14" t="inlineStr"/>
    </row>
    <row r="135" ht="75" customHeight="1">
      <c r="A135" s="16" t="inlineStr">
        <is>
          <t>PAT-134</t>
        </is>
      </c>
      <c r="B135" s="17" t="inlineStr">
        <is>
          <t>API - Hospital Immutability</t>
        </is>
      </c>
      <c r="C135" s="17" t="inlineStr">
        <is>
          <t>Hospital code and homecare_prefix are immutable on update</t>
        </is>
      </c>
      <c r="D135" s="18" t="inlineStr">
        <is>
          <t>Medium</t>
        </is>
      </c>
      <c r="E135" s="17" t="inlineStr">
        <is>
          <t>API</t>
        </is>
      </c>
      <c r="F135" s="17" t="inlineStr">
        <is>
          <t>API access; existing hospital KMIO.</t>
        </is>
      </c>
      <c r="G135" s="17" t="inlineStr">
        <is>
          <t>1. PUT hospital-options changing KMIO's homecare_prefix
2. PUT with two entries flagged is_default=true
3. PUT with duplicate codes</t>
        </is>
      </c>
      <c r="H135" s="17" t="inlineStr">
        <is>
          <t>changed prefix; two defaults; duplicate codes</t>
        </is>
      </c>
      <c r="I135" s="17" t="inlineStr">
        <is>
          <t>Changing prefix -&gt; 422 'homecare_prefix is immutable...'; two defaults -&gt; 422 'only one hospital may have is_default=true'; duplicate codes -&gt; 422 'duplicate codes in payload'.</t>
        </is>
      </c>
      <c r="J135" s="17" t="inlineStr">
        <is>
          <t>PUT /api/patients/config/hospital-options</t>
        </is>
      </c>
      <c r="K135" s="14" t="inlineStr"/>
      <c r="L135" s="15" t="inlineStr">
        <is>
          <t>Not Executed</t>
        </is>
      </c>
      <c r="M135" s="15" t="inlineStr"/>
      <c r="N135" s="15" t="inlineStr"/>
      <c r="O135" s="15" t="inlineStr"/>
      <c r="P135" s="14" t="inlineStr"/>
    </row>
    <row r="136" ht="60" customHeight="1">
      <c r="A136" s="11" t="inlineStr">
        <is>
          <t>PAT-135</t>
        </is>
      </c>
      <c r="B136" s="12" t="inlineStr">
        <is>
          <t>API - Hospital Delete Behaviour</t>
        </is>
      </c>
      <c r="C136" s="12" t="inlineStr">
        <is>
          <t>Hospital delete soft-deletes when referenced, hard-deletes when not</t>
        </is>
      </c>
      <c r="D136" s="19" t="inlineStr">
        <is>
          <t>Medium</t>
        </is>
      </c>
      <c r="E136" s="12" t="inlineStr">
        <is>
          <t>API</t>
        </is>
      </c>
      <c r="F136" s="12" t="inlineStr">
        <is>
          <t>API access; one referenced hospital and one unused hospital; one is default.</t>
        </is>
      </c>
      <c r="G136" s="12" t="inlineStr">
        <is>
          <t>1. DELETE an unused, non-default hospital
2. DELETE a hospital referenced by a patient
3. DELETE the current default hospital</t>
        </is>
      </c>
      <c r="H136" s="12" t="inlineStr">
        <is>
          <t>unused code; referenced code; default code</t>
        </is>
      </c>
      <c r="I136" s="12" t="inlineStr">
        <is>
          <t>Unused -&gt; 200 mode 'hard'. Referenced -&gt; 200 mode 'soft' with counts. Default -&gt; 409 'cannot_delete_default'.</t>
        </is>
      </c>
      <c r="J136" s="12" t="inlineStr">
        <is>
          <t>DELETE /api/patients/config/hospital-options</t>
        </is>
      </c>
      <c r="K136" s="14" t="inlineStr"/>
      <c r="L136" s="15" t="inlineStr">
        <is>
          <t>Not Executed</t>
        </is>
      </c>
      <c r="M136" s="15" t="inlineStr"/>
      <c r="N136" s="15" t="inlineStr"/>
      <c r="O136" s="15" t="inlineStr"/>
      <c r="P136" s="14" t="inlineStr"/>
    </row>
    <row r="137" ht="45" customHeight="1">
      <c r="A137" s="16" t="inlineStr">
        <is>
          <t>PAT-136</t>
        </is>
      </c>
      <c r="B137" s="17" t="inlineStr">
        <is>
          <t>Session - Token Attached</t>
        </is>
      </c>
      <c r="C137" s="17" t="inlineStr">
        <is>
          <t>All patient requests include the Bearer token</t>
        </is>
      </c>
      <c r="D137" s="21" t="inlineStr">
        <is>
          <t>High</t>
        </is>
      </c>
      <c r="E137" s="17" t="inlineStr">
        <is>
          <t>API</t>
        </is>
      </c>
      <c r="F137" s="17" t="inlineStr">
        <is>
          <t>Logged in; DevTools Network open.</t>
        </is>
      </c>
      <c r="G137" s="17" t="inlineStr">
        <is>
          <t>1. Open /patients and inspect the request headers for GET /api/patients</t>
        </is>
      </c>
      <c r="H137" s="17" t="inlineStr">
        <is>
          <t>N/A</t>
        </is>
      </c>
      <c r="I137" s="17" t="inlineStr">
        <is>
          <t>Every /api/patients request carries 'Authorization: Bearer &lt;access_token&gt;' from localStorage.</t>
        </is>
      </c>
      <c r="J137" s="17" t="inlineStr">
        <is>
          <t>GET /api/patients</t>
        </is>
      </c>
      <c r="K137" s="14" t="inlineStr"/>
      <c r="L137" s="15" t="inlineStr">
        <is>
          <t>Not Executed</t>
        </is>
      </c>
      <c r="M137" s="15" t="inlineStr"/>
      <c r="N137" s="15" t="inlineStr"/>
      <c r="O137" s="15" t="inlineStr"/>
      <c r="P137" s="14" t="inlineStr"/>
    </row>
    <row r="138" ht="60" customHeight="1">
      <c r="A138" s="11" t="inlineStr">
        <is>
          <t>PAT-137</t>
        </is>
      </c>
      <c r="B138" s="12" t="inlineStr">
        <is>
          <t>Session - 401 Refresh &amp; Retry</t>
        </is>
      </c>
      <c r="C138" s="12" t="inlineStr">
        <is>
          <t>Expired access token triggers a one-time refresh and retry</t>
        </is>
      </c>
      <c r="D138" s="13" t="inlineStr">
        <is>
          <t>High</t>
        </is>
      </c>
      <c r="E138" s="12" t="inlineStr">
        <is>
          <t>Permission</t>
        </is>
      </c>
      <c r="F138" s="12" t="inlineStr">
        <is>
          <t>Valid refresh_token; corrupt/expire the access_token.</t>
        </is>
      </c>
      <c r="G138" s="12" t="inlineStr">
        <is>
          <t>1. Expire the access_token in localStorage
2. Trigger a patient request (e.g. reload /patients)</t>
        </is>
      </c>
      <c r="H138" s="12" t="inlineStr">
        <is>
          <t>N/A</t>
        </is>
      </c>
      <c r="I138" s="12" t="inlineStr">
        <is>
          <t>The 401 triggers POST /api/auth/refresh; on success the access_token is replaced and the original request is retried transparently and succeeds.</t>
        </is>
      </c>
      <c r="J138" s="12" t="inlineStr">
        <is>
          <t>GET /api/patients</t>
        </is>
      </c>
      <c r="K138" s="14" t="inlineStr"/>
      <c r="L138" s="15" t="inlineStr">
        <is>
          <t>Not Executed</t>
        </is>
      </c>
      <c r="M138" s="15" t="inlineStr"/>
      <c r="N138" s="15" t="inlineStr"/>
      <c r="O138" s="15" t="inlineStr"/>
      <c r="P138" s="14" t="inlineStr"/>
    </row>
    <row r="139" ht="45" customHeight="1">
      <c r="A139" s="16" t="inlineStr">
        <is>
          <t>PAT-138</t>
        </is>
      </c>
      <c r="B139" s="17" t="inlineStr">
        <is>
          <t>Session - Refresh Failure Redirect</t>
        </is>
      </c>
      <c r="C139" s="17" t="inlineStr">
        <is>
          <t>Failed refresh clears storage and redirects to /login</t>
        </is>
      </c>
      <c r="D139" s="21" t="inlineStr">
        <is>
          <t>High</t>
        </is>
      </c>
      <c r="E139" s="17" t="inlineStr">
        <is>
          <t>Permission</t>
        </is>
      </c>
      <c r="F139" s="17" t="inlineStr">
        <is>
          <t>Both access_token and refresh_token invalid/expired.</t>
        </is>
      </c>
      <c r="G139" s="17" t="inlineStr">
        <is>
          <t>1. Invalidate both tokens
2. Trigger a patient request</t>
        </is>
      </c>
      <c r="H139" s="17" t="inlineStr">
        <is>
          <t>N/A</t>
        </is>
      </c>
      <c r="I139" s="17" t="inlineStr">
        <is>
          <t>After the failed refresh, access_token/refresh_token/user are removed from localStorage and the app hard-redirects to /login.</t>
        </is>
      </c>
      <c r="J139" s="17" t="inlineStr">
        <is>
          <t>GET /api/patients</t>
        </is>
      </c>
      <c r="K139" s="14" t="inlineStr"/>
      <c r="L139" s="15" t="inlineStr">
        <is>
          <t>Not Executed</t>
        </is>
      </c>
      <c r="M139" s="15" t="inlineStr"/>
      <c r="N139" s="15" t="inlineStr"/>
      <c r="O139" s="15" t="inlineStr"/>
      <c r="P139" s="14" t="inlineStr"/>
    </row>
    <row r="140" ht="45" customHeight="1">
      <c r="A140" s="11" t="inlineStr">
        <is>
          <t>PAT-139</t>
        </is>
      </c>
      <c r="B140" s="12" t="inlineStr">
        <is>
          <t>Session - Route Guard</t>
        </is>
      </c>
      <c r="C140" s="12" t="inlineStr">
        <is>
          <t>Unauthenticated access to patient routes redirects to login</t>
        </is>
      </c>
      <c r="D140" s="13" t="inlineStr">
        <is>
          <t>High</t>
        </is>
      </c>
      <c r="E140" s="12" t="inlineStr">
        <is>
          <t>Permission</t>
        </is>
      </c>
      <c r="F140" s="12" t="inlineStr">
        <is>
          <t>Logged out (no tokens).</t>
        </is>
      </c>
      <c r="G140" s="12" t="inlineStr">
        <is>
          <t>1. Open /patients, then /patients/:id, then /patients/:id/edit directly</t>
        </is>
      </c>
      <c r="H140" s="12" t="inlineStr">
        <is>
          <t>N/A</t>
        </is>
      </c>
      <c r="I140" s="12" t="inlineStr">
        <is>
          <t>Each route requires authentication; an unauthenticated user is redirected to /login and cannot view patient data.</t>
        </is>
      </c>
      <c r="J140" s="12" t="inlineStr">
        <is>
          <t>N/A</t>
        </is>
      </c>
      <c r="K140" s="14" t="inlineStr"/>
      <c r="L140" s="15" t="inlineStr">
        <is>
          <t>Not Executed</t>
        </is>
      </c>
      <c r="M140" s="15" t="inlineStr"/>
      <c r="N140" s="15" t="inlineStr"/>
      <c r="O140" s="15" t="inlineStr"/>
      <c r="P140" s="14" t="inlineStr"/>
    </row>
    <row r="141" ht="45" customHeight="1">
      <c r="A141" s="16" t="inlineStr">
        <is>
          <t>PAT-140</t>
        </is>
      </c>
      <c r="B141" s="17" t="inlineStr">
        <is>
          <t>Patients List - Long/Special Input</t>
        </is>
      </c>
      <c r="C141" s="17" t="inlineStr">
        <is>
          <t>Very long and special-character search strings are handled safely</t>
        </is>
      </c>
      <c r="D141" s="22" t="inlineStr">
        <is>
          <t>Low</t>
        </is>
      </c>
      <c r="E141" s="17" t="inlineStr">
        <is>
          <t>Edge Case</t>
        </is>
      </c>
      <c r="F141" s="17" t="inlineStr">
        <is>
          <t>Logged in.</t>
        </is>
      </c>
      <c r="G141" s="17" t="inlineStr">
        <is>
          <t>1. Search with a 300-char string and with characters like &lt;script&gt;, %, ', "
2. Submit</t>
        </is>
      </c>
      <c r="H141" s="17" t="inlineStr">
        <is>
          <t>300 'A's; &lt;script&gt;alert(1)&lt;/script&gt;; O'Brien</t>
        </is>
      </c>
      <c r="I141" s="17" t="inlineStr">
        <is>
          <t>No XSS executes; the app returns 0 results or matching results without errors; the query is sent URL-encoded as q.</t>
        </is>
      </c>
      <c r="J141" s="17" t="inlineStr">
        <is>
          <t>GET /api/patients</t>
        </is>
      </c>
      <c r="K141" s="14" t="inlineStr"/>
      <c r="L141" s="15" t="inlineStr">
        <is>
          <t>Not Executed</t>
        </is>
      </c>
      <c r="M141" s="15" t="inlineStr"/>
      <c r="N141" s="15" t="inlineStr"/>
      <c r="O141" s="15" t="inlineStr"/>
      <c r="P141" s="14" t="inlineStr"/>
    </row>
    <row r="142" ht="60" customHeight="1">
      <c r="A142" s="11" t="inlineStr">
        <is>
          <t>PAT-141</t>
        </is>
      </c>
      <c r="B142" s="12" t="inlineStr">
        <is>
          <t>Registration - Long Text &amp; Special Chars</t>
        </is>
      </c>
      <c r="C142" s="12" t="inlineStr">
        <is>
          <t>Registration handles very long names and special characters</t>
        </is>
      </c>
      <c r="D142" s="20" t="inlineStr">
        <is>
          <t>Low</t>
        </is>
      </c>
      <c r="E142" s="12" t="inlineStr">
        <is>
          <t>Edge Case</t>
        </is>
      </c>
      <c r="F142" s="12" t="inlineStr">
        <is>
          <t>Registration dialog open.</t>
        </is>
      </c>
      <c r="G142" s="12" t="inlineStr">
        <is>
          <t>1. Enter a 200-char first name, a name with apostrophe (D'Souza) and accented chars
2. Fill required fields and create</t>
        </is>
      </c>
      <c r="H142" s="12" t="inlineStr">
        <is>
          <t>First='D'Souza-Ramachandran...' (very long)</t>
        </is>
      </c>
      <c r="I142" s="12" t="inlineStr">
        <is>
          <t>The name is accepted (auto-capitalised first letter); special characters are preserved; either created successfully or a clear backend validation error — no crash.</t>
        </is>
      </c>
      <c r="J142" s="12" t="inlineStr">
        <is>
          <t>POST /api/patients</t>
        </is>
      </c>
      <c r="K142" s="14" t="inlineStr"/>
      <c r="L142" s="15" t="inlineStr">
        <is>
          <t>Not Executed</t>
        </is>
      </c>
      <c r="M142" s="15" t="inlineStr"/>
      <c r="N142" s="15" t="inlineStr"/>
      <c r="O142" s="15" t="inlineStr"/>
      <c r="P142" s="14" t="inlineStr"/>
    </row>
    <row r="143" ht="30" customHeight="1">
      <c r="A143" s="16" t="inlineStr">
        <is>
          <t>PAT-142</t>
        </is>
      </c>
      <c r="B143" s="17" t="inlineStr">
        <is>
          <t>Registration - Country Locked</t>
        </is>
      </c>
      <c r="C143" s="17" t="inlineStr">
        <is>
          <t>Country field is locked to India</t>
        </is>
      </c>
      <c r="D143" s="22" t="inlineStr">
        <is>
          <t>Low</t>
        </is>
      </c>
      <c r="E143" s="17" t="inlineStr">
        <is>
          <t>UI/UX</t>
        </is>
      </c>
      <c r="F143" s="17" t="inlineStr">
        <is>
          <t>Registration dialog; Address accordion expanded.</t>
        </is>
      </c>
      <c r="G143" s="17" t="inlineStr">
        <is>
          <t>1. Attempt to edit the Country field</t>
        </is>
      </c>
      <c r="H143" s="17" t="inlineStr">
        <is>
          <t>N/A</t>
        </is>
      </c>
      <c r="I143" s="17" t="inlineStr">
        <is>
          <t>Country is disabled and fixed to 'India'.</t>
        </is>
      </c>
      <c r="J143" s="17" t="inlineStr">
        <is>
          <t>N/A</t>
        </is>
      </c>
      <c r="K143" s="14" t="inlineStr"/>
      <c r="L143" s="15" t="inlineStr">
        <is>
          <t>Not Executed</t>
        </is>
      </c>
      <c r="M143" s="15" t="inlineStr"/>
      <c r="N143" s="15" t="inlineStr"/>
      <c r="O143" s="15" t="inlineStr"/>
      <c r="P143" s="14" t="inlineStr"/>
    </row>
    <row r="144" ht="60" customHeight="1">
      <c r="A144" s="11" t="inlineStr">
        <is>
          <t>PAT-143</t>
        </is>
      </c>
      <c r="B144" s="12" t="inlineStr">
        <is>
          <t>Patient Detail - Care Circle in AI Summary</t>
        </is>
      </c>
      <c r="C144" s="12" t="inlineStr">
        <is>
          <t>Care circle data feeds the AI summary Basic Patient Details</t>
        </is>
      </c>
      <c r="D144" s="20" t="inlineStr">
        <is>
          <t>Low</t>
        </is>
      </c>
      <c r="E144" s="12" t="inlineStr">
        <is>
          <t>Data Integrity</t>
        </is>
      </c>
      <c r="F144" s="12" t="inlineStr">
        <is>
          <t>Care circle saved (PAT-062).</t>
        </is>
      </c>
      <c r="G144" s="12" t="inlineStr">
        <is>
          <t>1. Open the AI Patient Summary card and read 'Primary Caregiver' and 'Phone Number'</t>
        </is>
      </c>
      <c r="H144" s="12" t="inlineStr">
        <is>
          <t>N/A</t>
        </is>
      </c>
      <c r="I144" s="12" t="inlineStr">
        <is>
          <t>Basic Patient Details shows the saved primary caregiver (name + relationship + phone) and falls back to caregiver/alternative phone when no direct phone exists.</t>
        </is>
      </c>
      <c r="J144" s="12" t="inlineStr">
        <is>
          <t>N/A (saranam getPatientSummary)</t>
        </is>
      </c>
      <c r="K144" s="14" t="inlineStr"/>
      <c r="L144" s="15" t="inlineStr">
        <is>
          <t>Not Executed</t>
        </is>
      </c>
      <c r="M144" s="15" t="inlineStr"/>
      <c r="N144" s="15" t="inlineStr"/>
      <c r="O144" s="15" t="inlineStr"/>
      <c r="P144" s="14" t="inlineStr"/>
    </row>
    <row r="145" ht="30" customHeight="1">
      <c r="A145" s="16" t="inlineStr">
        <is>
          <t>PAT-144</t>
        </is>
      </c>
      <c r="B145" s="17" t="inlineStr">
        <is>
          <t>Patient Detail - Back Navigation</t>
        </is>
      </c>
      <c r="C145" s="17" t="inlineStr">
        <is>
          <t>'Back to Patients' returns to the list</t>
        </is>
      </c>
      <c r="D145" s="22" t="inlineStr">
        <is>
          <t>Low</t>
        </is>
      </c>
      <c r="E145" s="17" t="inlineStr">
        <is>
          <t>UI/UX</t>
        </is>
      </c>
      <c r="F145" s="17" t="inlineStr">
        <is>
          <t>Patient detail open.</t>
        </is>
      </c>
      <c r="G145" s="17" t="inlineStr">
        <is>
          <t>1. Click 'Back to Patients'</t>
        </is>
      </c>
      <c r="H145" s="17" t="inlineStr">
        <is>
          <t>N/A</t>
        </is>
      </c>
      <c r="I145" s="17" t="inlineStr">
        <is>
          <t>Navigates to /patients.</t>
        </is>
      </c>
      <c r="J145" s="17" t="inlineStr">
        <is>
          <t>N/A</t>
        </is>
      </c>
      <c r="K145" s="14" t="inlineStr"/>
      <c r="L145" s="15" t="inlineStr">
        <is>
          <t>Not Executed</t>
        </is>
      </c>
      <c r="M145" s="15" t="inlineStr"/>
      <c r="N145" s="15" t="inlineStr"/>
      <c r="O145" s="15" t="inlineStr"/>
      <c r="P145" s="14" t="inlineStr"/>
    </row>
    <row r="146" ht="45" customHeight="1">
      <c r="A146" s="11" t="inlineStr">
        <is>
          <t>PAT-145</t>
        </is>
      </c>
      <c r="B146" s="12" t="inlineStr">
        <is>
          <t>Registration - Vitals/Numeric Boundary (PPS Card)</t>
        </is>
      </c>
      <c r="C146" s="12" t="inlineStr">
        <is>
          <t>Cannot save a PPS without selecting a row in the universal card</t>
        </is>
      </c>
      <c r="D146" s="20" t="inlineStr">
        <is>
          <t>Low</t>
        </is>
      </c>
      <c r="E146" s="12" t="inlineStr">
        <is>
          <t>Validation</t>
        </is>
      </c>
      <c r="F146" s="12" t="inlineStr">
        <is>
          <t>Patient with no priority/PPS; PPS card dialog open.</t>
        </is>
      </c>
      <c r="G146" s="12" t="inlineStr">
        <is>
          <t>1. Open Record PPS where no default applies, do not click a row, click Save PPS</t>
        </is>
      </c>
      <c r="H146" s="12" t="inlineStr">
        <is>
          <t>N/A</t>
        </is>
      </c>
      <c r="I146" s="12" t="inlineStr">
        <is>
          <t>Save is disabled / alerts 'Please select a PPS score'; no POST is sent.</t>
        </is>
      </c>
      <c r="J146" s="12" t="inlineStr">
        <is>
          <t>POST /api/patients/:id/pps</t>
        </is>
      </c>
      <c r="K146" s="14" t="inlineStr"/>
      <c r="L146" s="15" t="inlineStr">
        <is>
          <t>Not Executed</t>
        </is>
      </c>
      <c r="M146" s="15" t="inlineStr"/>
      <c r="N146" s="15" t="inlineStr"/>
      <c r="O146" s="15" t="inlineStr"/>
      <c r="P146" s="14" t="inlineStr"/>
    </row>
  </sheetData>
  <autoFilter ref="A1:P146"/>
  <conditionalFormatting sqref="L2:L14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146" showDropDown="0" showInputMessage="0" showErrorMessage="0" allowBlank="1" type="list">
      <formula1>"Not Executed,Pass,Fail,Blocked,N/A"</formula1>
    </dataValidation>
    <dataValidation sqref="M2:M146"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120" customHeight="1">
      <c r="A2" s="11" t="inlineStr">
        <is>
          <t>SCH-001</t>
        </is>
      </c>
      <c r="B2" s="12" t="inlineStr">
        <is>
          <t>Schedule Calendar</t>
        </is>
      </c>
      <c r="C2" s="12" t="inlineStr">
        <is>
          <t>Calendar page loads with header, tabs and schedule list</t>
        </is>
      </c>
      <c r="D2" s="13" t="inlineStr">
        <is>
          <t>High</t>
        </is>
      </c>
      <c r="E2" s="12" t="inlineStr">
        <is>
          <t>Functional</t>
        </is>
      </c>
      <c r="F2" s="12" t="inlineStr">
        <is>
          <t>Logged in; at least one schedule and one vehicle exist.</t>
        </is>
      </c>
      <c r="G2" s="12" t="inlineStr">
        <is>
          <t>1. Navigate to /saranam/scheduling
2. Wait for the spinner to finish</t>
        </is>
      </c>
      <c r="H2" s="12" t="inlineStr">
        <is>
          <t>N/A</t>
        </is>
      </c>
      <c r="I2" s="12" t="inlineStr">
        <is>
          <t>Header 'Schedule Calendar / Weekly schedule overview' shows with Calendar icon. Refresh, Quick Create and New Schedule buttons render. Five status tabs (All, Draft, Submitted, Active, Archived) each show a count badge. The schedule table lists Week, Status, Patients, Days, Actions columns sorted newest week first.</t>
        </is>
      </c>
      <c r="J2" s="12" t="inlineStr">
        <is>
          <t>GET /api/saranam/scheduling/schedules?per_page=100 and GET /api/saranam/scheduling/vehicles</t>
        </is>
      </c>
      <c r="K2" s="14" t="inlineStr"/>
      <c r="L2" s="15" t="inlineStr">
        <is>
          <t>Not Executed</t>
        </is>
      </c>
      <c r="M2" s="15" t="inlineStr"/>
      <c r="N2" s="15" t="inlineStr"/>
      <c r="O2" s="15" t="inlineStr"/>
      <c r="P2" s="14" t="inlineStr"/>
    </row>
    <row r="3" ht="75" customHeight="1">
      <c r="A3" s="11" t="inlineStr">
        <is>
          <t>SCH-002</t>
        </is>
      </c>
      <c r="B3" s="12" t="inlineStr">
        <is>
          <t>Schedule Calendar</t>
        </is>
      </c>
      <c r="C3" s="12" t="inlineStr">
        <is>
          <t>Status tab filtering segregates schedules correctly</t>
        </is>
      </c>
      <c r="D3" s="13" t="inlineStr">
        <is>
          <t>High</t>
        </is>
      </c>
      <c r="E3" s="12" t="inlineStr">
        <is>
          <t>Functional</t>
        </is>
      </c>
      <c r="F3" s="12" t="inlineStr">
        <is>
          <t>Schedules exist in draft, submitted, approved/in_progress and archived statuses.</t>
        </is>
      </c>
      <c r="G3" s="12" t="inlineStr">
        <is>
          <t>1. On the calendar, click each tab: All, Draft, Submitted, Active, Archived</t>
        </is>
      </c>
      <c r="H3" s="12" t="inlineStr">
        <is>
          <t>N/A</t>
        </is>
      </c>
      <c r="I3" s="12" t="inlineStr">
        <is>
          <t>Draft tab shows only status=draft; Submitted only submitted; Active shows approved/communicated/in_progress/review_ready; Archived only archived; All shows everything. Counts in tab badges match the rows shown.</t>
        </is>
      </c>
      <c r="J3" s="12" t="inlineStr">
        <is>
          <t>N/A (client-side filter of GET /schedules result)</t>
        </is>
      </c>
      <c r="K3" s="14" t="inlineStr"/>
      <c r="L3" s="15" t="inlineStr">
        <is>
          <t>Not Executed</t>
        </is>
      </c>
      <c r="M3" s="15" t="inlineStr"/>
      <c r="N3" s="15" t="inlineStr"/>
      <c r="O3" s="15" t="inlineStr"/>
      <c r="P3" s="14" t="inlineStr"/>
    </row>
    <row r="4" ht="45" customHeight="1">
      <c r="A4" s="11" t="inlineStr">
        <is>
          <t>SCH-003</t>
        </is>
      </c>
      <c r="B4" s="12" t="inlineStr">
        <is>
          <t>Schedule Calendar</t>
        </is>
      </c>
      <c r="C4" s="12" t="inlineStr">
        <is>
          <t>Deep link ?status=pending opens the Submitted tab (Drafts &amp; Approvals)</t>
        </is>
      </c>
      <c r="D4" s="13" t="inlineStr">
        <is>
          <t>High</t>
        </is>
      </c>
      <c r="E4" s="12" t="inlineStr">
        <is>
          <t>Functional</t>
        </is>
      </c>
      <c r="F4" s="12" t="inlineStr">
        <is>
          <t>Logged in.</t>
        </is>
      </c>
      <c r="G4" s="12" t="inlineStr">
        <is>
          <t>1. Navigate directly to /saranam/scheduling?status=pending</t>
        </is>
      </c>
      <c r="H4" s="12" t="inlineStr">
        <is>
          <t>URL query status=pending</t>
        </is>
      </c>
      <c r="I4" s="12" t="inlineStr">
        <is>
          <t>Page opens with the Submitted tab pre-selected (activeTab index 1), listing only submitted schedules awaiting approval.</t>
        </is>
      </c>
      <c r="J4" s="12" t="inlineStr">
        <is>
          <t>GET /api/saranam/scheduling/schedules?per_page=100</t>
        </is>
      </c>
      <c r="K4" s="14" t="inlineStr"/>
      <c r="L4" s="15" t="inlineStr">
        <is>
          <t>Not Executed</t>
        </is>
      </c>
      <c r="M4" s="15" t="inlineStr"/>
      <c r="N4" s="15" t="inlineStr"/>
      <c r="O4" s="15" t="inlineStr"/>
      <c r="P4" s="14" t="inlineStr"/>
    </row>
    <row r="5" ht="45" customHeight="1">
      <c r="A5" s="11" t="inlineStr">
        <is>
          <t>SCH-004</t>
        </is>
      </c>
      <c r="B5" s="12" t="inlineStr">
        <is>
          <t>Schedule Calendar</t>
        </is>
      </c>
      <c r="C5" s="12" t="inlineStr">
        <is>
          <t>Refresh button reloads schedules and vehicles</t>
        </is>
      </c>
      <c r="D5" s="19" t="inlineStr">
        <is>
          <t>Medium</t>
        </is>
      </c>
      <c r="E5" s="12" t="inlineStr">
        <is>
          <t>Functional</t>
        </is>
      </c>
      <c r="F5" s="12" t="inlineStr">
        <is>
          <t>Calendar loaded.</t>
        </is>
      </c>
      <c r="G5" s="12" t="inlineStr">
        <is>
          <t>1. Create/modify a schedule in another tab
2. Click Refresh on the calendar</t>
        </is>
      </c>
      <c r="H5" s="12" t="inlineStr">
        <is>
          <t>N/A</t>
        </is>
      </c>
      <c r="I5" s="12" t="inlineStr">
        <is>
          <t>List re-fetches and reflects the latest data; spinner shows briefly during load.</t>
        </is>
      </c>
      <c r="J5" s="12" t="inlineStr">
        <is>
          <t>GET /api/saranam/scheduling/schedules + GET /api/saranam/scheduling/vehicles</t>
        </is>
      </c>
      <c r="K5" s="14" t="inlineStr"/>
      <c r="L5" s="15" t="inlineStr">
        <is>
          <t>Not Executed</t>
        </is>
      </c>
      <c r="M5" s="15" t="inlineStr"/>
      <c r="N5" s="15" t="inlineStr"/>
      <c r="O5" s="15" t="inlineStr"/>
      <c r="P5" s="14" t="inlineStr"/>
    </row>
    <row r="6" ht="60" customHeight="1">
      <c r="A6" s="11" t="inlineStr">
        <is>
          <t>SCH-005</t>
        </is>
      </c>
      <c r="B6" s="12" t="inlineStr">
        <is>
          <t>Schedule Calendar</t>
        </is>
      </c>
      <c r="C6" s="12" t="inlineStr">
        <is>
          <t>New Schedule dialog creates a schedule and opens the board</t>
        </is>
      </c>
      <c r="D6" s="13" t="inlineStr">
        <is>
          <t>High</t>
        </is>
      </c>
      <c r="E6" s="12" t="inlineStr">
        <is>
          <t>Functional</t>
        </is>
      </c>
      <c r="F6" s="12" t="inlineStr">
        <is>
          <t>At least one vehicle configured.</t>
        </is>
      </c>
      <c r="G6" s="12" t="inlineStr">
        <is>
          <t>1. Click New Schedule
2. In the dialog pick Week Start Date 2026-06-08
3. Click Create</t>
        </is>
      </c>
      <c r="H6" s="12" t="inlineStr">
        <is>
          <t>Week Start = 2026-06-08</t>
        </is>
      </c>
      <c r="I6" s="12" t="inlineStr">
        <is>
          <t>Schedule is created (uses vehicles[0]) and the app navigates to /saranam/scheduling/board/&lt;newId&gt;. Dialog closes and Create shows 'Creating...' while saving.</t>
        </is>
      </c>
      <c r="J6" s="12" t="inlineStr">
        <is>
          <t>POST /api/saranam/scheduling/schedules {week_start_date, vehicle_id}</t>
        </is>
      </c>
      <c r="K6" s="14" t="inlineStr"/>
      <c r="L6" s="15" t="inlineStr">
        <is>
          <t>Not Executed</t>
        </is>
      </c>
      <c r="M6" s="15" t="inlineStr"/>
      <c r="N6" s="15" t="inlineStr"/>
      <c r="O6" s="15" t="inlineStr"/>
      <c r="P6" s="14" t="inlineStr"/>
    </row>
    <row r="7" ht="45" customHeight="1">
      <c r="A7" s="11" t="inlineStr">
        <is>
          <t>SCH-006</t>
        </is>
      </c>
      <c r="B7" s="12" t="inlineStr">
        <is>
          <t>Schedule Calendar</t>
        </is>
      </c>
      <c r="C7" s="12" t="inlineStr">
        <is>
          <t>Create is disabled until a week start date is chosen</t>
        </is>
      </c>
      <c r="D7" s="19" t="inlineStr">
        <is>
          <t>Medium</t>
        </is>
      </c>
      <c r="E7" s="12" t="inlineStr">
        <is>
          <t>Validation</t>
        </is>
      </c>
      <c r="F7" s="12" t="inlineStr">
        <is>
          <t>New Schedule dialog open.</t>
        </is>
      </c>
      <c r="G7" s="12" t="inlineStr">
        <is>
          <t>1. Open New Schedule dialog
2. Leave Week Start Date empty
3. Observe the Create button</t>
        </is>
      </c>
      <c r="H7" s="12" t="inlineStr">
        <is>
          <t>Empty date</t>
        </is>
      </c>
      <c r="I7" s="12" t="inlineStr">
        <is>
          <t>Create button is disabled while the date field is empty; enabling only after a date is selected.</t>
        </is>
      </c>
      <c r="J7" s="12" t="inlineStr">
        <is>
          <t>N/A</t>
        </is>
      </c>
      <c r="K7" s="14" t="inlineStr"/>
      <c r="L7" s="15" t="inlineStr">
        <is>
          <t>Not Executed</t>
        </is>
      </c>
      <c r="M7" s="15" t="inlineStr"/>
      <c r="N7" s="15" t="inlineStr"/>
      <c r="O7" s="15" t="inlineStr"/>
      <c r="P7" s="14" t="inlineStr"/>
    </row>
    <row r="8" ht="60" customHeight="1">
      <c r="A8" s="11" t="inlineStr">
        <is>
          <t>SCH-007</t>
        </is>
      </c>
      <c r="B8" s="12" t="inlineStr">
        <is>
          <t>Schedule Calendar</t>
        </is>
      </c>
      <c r="C8" s="12" t="inlineStr">
        <is>
          <t>Quick Create makes a schedule for the current week's Monday</t>
        </is>
      </c>
      <c r="D8" s="19" t="inlineStr">
        <is>
          <t>Medium</t>
        </is>
      </c>
      <c r="E8" s="12" t="inlineStr">
        <is>
          <t>Functional</t>
        </is>
      </c>
      <c r="F8" s="12" t="inlineStr">
        <is>
          <t>At least one vehicle configured.</t>
        </is>
      </c>
      <c r="G8" s="12" t="inlineStr">
        <is>
          <t>1. Click Quick Create</t>
        </is>
      </c>
      <c r="H8" s="12" t="inlineStr">
        <is>
          <t>N/A (today 2026-06-01 -&gt; Monday 2026-06-01)</t>
        </is>
      </c>
      <c r="I8" s="12" t="inlineStr">
        <is>
          <t>A schedule for the current week's Monday is created with vehicles[0] and the board opens. Button shows disabled state while creating.</t>
        </is>
      </c>
      <c r="J8" s="12" t="inlineStr">
        <is>
          <t>POST /api/saranam/scheduling/schedules</t>
        </is>
      </c>
      <c r="K8" s="14" t="inlineStr"/>
      <c r="L8" s="15" t="inlineStr">
        <is>
          <t>Not Executed</t>
        </is>
      </c>
      <c r="M8" s="15" t="inlineStr"/>
      <c r="N8" s="15" t="inlineStr"/>
      <c r="O8" s="15" t="inlineStr"/>
      <c r="P8" s="14" t="inlineStr"/>
    </row>
    <row r="9" ht="45" customHeight="1">
      <c r="A9" s="11" t="inlineStr">
        <is>
          <t>SCH-008</t>
        </is>
      </c>
      <c r="B9" s="12" t="inlineStr">
        <is>
          <t>Schedule Calendar</t>
        </is>
      </c>
      <c r="C9" s="12" t="inlineStr">
        <is>
          <t>Create blocked when no vehicles configured</t>
        </is>
      </c>
      <c r="D9" s="13" t="inlineStr">
        <is>
          <t>High</t>
        </is>
      </c>
      <c r="E9" s="12" t="inlineStr">
        <is>
          <t>Negative</t>
        </is>
      </c>
      <c r="F9" s="12" t="inlineStr">
        <is>
          <t>No vehicles exist (delete/avoid configuring any).</t>
        </is>
      </c>
      <c r="G9" s="12" t="inlineStr">
        <is>
          <t>1. Click Quick Create (or New Schedule -&gt; pick date -&gt; Create)</t>
        </is>
      </c>
      <c r="H9" s="12" t="inlineStr">
        <is>
          <t>N/A</t>
        </is>
      </c>
      <c r="I9" s="12" t="inlineStr">
        <is>
          <t>An error banner shows 'No vehicles configured. Add a vehicle in Settings first.' and no schedule is created/navigation occurs.</t>
        </is>
      </c>
      <c r="J9" s="12" t="inlineStr">
        <is>
          <t>N/A (guarded client-side before POST)</t>
        </is>
      </c>
      <c r="K9" s="14" t="inlineStr"/>
      <c r="L9" s="15" t="inlineStr">
        <is>
          <t>Not Executed</t>
        </is>
      </c>
      <c r="M9" s="15" t="inlineStr"/>
      <c r="N9" s="15" t="inlineStr"/>
      <c r="O9" s="15" t="inlineStr"/>
      <c r="P9" s="14" t="inlineStr"/>
    </row>
    <row r="10" ht="75" customHeight="1">
      <c r="A10" s="11" t="inlineStr">
        <is>
          <t>SCH-009</t>
        </is>
      </c>
      <c r="B10" s="12" t="inlineStr">
        <is>
          <t>Schedule Calendar</t>
        </is>
      </c>
      <c r="C10" s="12" t="inlineStr">
        <is>
          <t>Open / View action navigates by status</t>
        </is>
      </c>
      <c r="D10" s="19" t="inlineStr">
        <is>
          <t>Medium</t>
        </is>
      </c>
      <c r="E10" s="12" t="inlineStr">
        <is>
          <t>Functional</t>
        </is>
      </c>
      <c r="F10" s="12" t="inlineStr">
        <is>
          <t>Schedules in various statuses exist.</t>
        </is>
      </c>
      <c r="G10" s="12" t="inlineStr">
        <is>
          <t>1. Click a non-review_ready row (or its Open button)
2. Go back, click a review_ready row
3. Go back, observe an archived row's button label</t>
        </is>
      </c>
      <c r="H10" s="12" t="inlineStr">
        <is>
          <t>N/A</t>
        </is>
      </c>
      <c r="I10" s="12" t="inlineStr">
        <is>
          <t>Non review_ready rows open /board/:id. review_ready rows open /review-dashboard/:id. Archived rows show 'View' label (others show 'Open').</t>
        </is>
      </c>
      <c r="J10" s="12" t="inlineStr">
        <is>
          <t>N/A (navigation)</t>
        </is>
      </c>
      <c r="K10" s="14" t="inlineStr"/>
      <c r="L10" s="15" t="inlineStr">
        <is>
          <t>Not Executed</t>
        </is>
      </c>
      <c r="M10" s="15" t="inlineStr"/>
      <c r="N10" s="15" t="inlineStr"/>
      <c r="O10" s="15" t="inlineStr"/>
      <c r="P10" s="14" t="inlineStr"/>
    </row>
    <row r="11" ht="60" customHeight="1">
      <c r="A11" s="11" t="inlineStr">
        <is>
          <t>SCH-010</t>
        </is>
      </c>
      <c r="B11" s="12" t="inlineStr">
        <is>
          <t>Schedule Calendar</t>
        </is>
      </c>
      <c r="C11" s="12" t="inlineStr">
        <is>
          <t>Schedule PDF download (Schedule button)</t>
        </is>
      </c>
      <c r="D11" s="19" t="inlineStr">
        <is>
          <t>Medium</t>
        </is>
      </c>
      <c r="E11" s="12" t="inlineStr">
        <is>
          <t>Functional</t>
        </is>
      </c>
      <c r="F11" s="12" t="inlineStr">
        <is>
          <t>A schedule with patient slots exists.</t>
        </is>
      </c>
      <c r="G11" s="12" t="inlineStr">
        <is>
          <t>1. On a row click the 'Schedule' (Download) button</t>
        </is>
      </c>
      <c r="H11" s="12" t="inlineStr">
        <is>
          <t>N/A</t>
        </is>
      </c>
      <c r="I11" s="12" t="inlineStr">
        <is>
          <t>Export data is fetched and a schedule PDF is generated/downloaded. On a PDF generation error an error banner 'PDF generation failed: ...' is shown.</t>
        </is>
      </c>
      <c r="J11" s="12" t="inlineStr">
        <is>
          <t>GET /api/saranam/scheduling/schedules/{id}/export-data</t>
        </is>
      </c>
      <c r="K11" s="14" t="inlineStr"/>
      <c r="L11" s="15" t="inlineStr">
        <is>
          <t>Not Executed</t>
        </is>
      </c>
      <c r="M11" s="15" t="inlineStr"/>
      <c r="N11" s="15" t="inlineStr"/>
      <c r="O11" s="15" t="inlineStr"/>
      <c r="P11" s="14" t="inlineStr"/>
    </row>
    <row r="12" ht="105" customHeight="1">
      <c r="A12" s="11" t="inlineStr">
        <is>
          <t>SCH-011</t>
        </is>
      </c>
      <c r="B12" s="12" t="inlineStr">
        <is>
          <t>Schedule Calendar</t>
        </is>
      </c>
      <c r="C12" s="12" t="inlineStr">
        <is>
          <t>Weekly Report button only on active/completed schedules</t>
        </is>
      </c>
      <c r="D12" s="19" t="inlineStr">
        <is>
          <t>Medium</t>
        </is>
      </c>
      <c r="E12" s="12" t="inlineStr">
        <is>
          <t>Functional</t>
        </is>
      </c>
      <c r="F12" s="12" t="inlineStr">
        <is>
          <t>An active/in_progress/review_ready/completed schedule with deviations exists; also a draft schedule exists.</t>
        </is>
      </c>
      <c r="G12" s="12" t="inlineStr">
        <is>
          <t>1. Locate an active schedule row -&gt; click 'Report'
2. Locate a draft schedule row and confirm no Report button</t>
        </is>
      </c>
      <c r="H12" s="12" t="inlineStr">
        <is>
          <t>N/A</t>
        </is>
      </c>
      <c r="I12" s="12" t="inlineStr">
        <is>
          <t>Report button appears only for active/in_progress/review_ready/completed rows; clicking fetches schedule detail + deviations and generates the weekly report PDF. Draft/submitted rows have no Report button. On failure an alert 'Failed to generate report' shows.</t>
        </is>
      </c>
      <c r="J12" s="12" t="inlineStr">
        <is>
          <t>GET /schedules/{id} + GET /schedules/{id}/deviations</t>
        </is>
      </c>
      <c r="K12" s="14" t="inlineStr"/>
      <c r="L12" s="15" t="inlineStr">
        <is>
          <t>Not Executed</t>
        </is>
      </c>
      <c r="M12" s="15" t="inlineStr"/>
      <c r="N12" s="15" t="inlineStr"/>
      <c r="O12" s="15" t="inlineStr"/>
      <c r="P12" s="14" t="inlineStr"/>
    </row>
    <row r="13" ht="60" customHeight="1">
      <c r="A13" s="11" t="inlineStr">
        <is>
          <t>SCH-012</t>
        </is>
      </c>
      <c r="B13" s="12" t="inlineStr">
        <is>
          <t>Schedule Calendar</t>
        </is>
      </c>
      <c r="C13" s="12" t="inlineStr">
        <is>
          <t>Delete schedule with confirmation removes it</t>
        </is>
      </c>
      <c r="D13" s="13" t="inlineStr">
        <is>
          <t>High</t>
        </is>
      </c>
      <c r="E13" s="12" t="inlineStr">
        <is>
          <t>Functional</t>
        </is>
      </c>
      <c r="F13" s="12" t="inlineStr">
        <is>
          <t>A deletable schedule exists.</t>
        </is>
      </c>
      <c r="G13" s="12" t="inlineStr">
        <is>
          <t>1. Click the red trash icon on a row
2. Confirm the browser confirm dialog warning about removing assignments, team and audit logs</t>
        </is>
      </c>
      <c r="H13" s="12" t="inlineStr">
        <is>
          <t>N/A</t>
        </is>
      </c>
      <c r="I13" s="12" t="inlineStr">
        <is>
          <t>On confirm the schedule is deleted and the list reloads without it. Cancelling the confirm leaves it intact. On backend error an error banner appears.</t>
        </is>
      </c>
      <c r="J13" s="12" t="inlineStr">
        <is>
          <t>DELETE /api/saranam/scheduling/schedules/{id}</t>
        </is>
      </c>
      <c r="K13" s="14" t="inlineStr"/>
      <c r="L13" s="15" t="inlineStr">
        <is>
          <t>Not Executed</t>
        </is>
      </c>
      <c r="M13" s="15" t="inlineStr"/>
      <c r="N13" s="15" t="inlineStr"/>
      <c r="O13" s="15" t="inlineStr"/>
      <c r="P13" s="14" t="inlineStr"/>
    </row>
    <row r="14" ht="45" customHeight="1">
      <c r="A14" s="11" t="inlineStr">
        <is>
          <t>SCH-013</t>
        </is>
      </c>
      <c r="B14" s="12" t="inlineStr">
        <is>
          <t>Schedule Calendar</t>
        </is>
      </c>
      <c r="C14" s="12" t="inlineStr">
        <is>
          <t>Empty state when no schedules in a tab</t>
        </is>
      </c>
      <c r="D14" s="20" t="inlineStr">
        <is>
          <t>Low</t>
        </is>
      </c>
      <c r="E14" s="12" t="inlineStr">
        <is>
          <t>UI/UX</t>
        </is>
      </c>
      <c r="F14" s="12" t="inlineStr">
        <is>
          <t>A tab with zero matching schedules (e.g. Archived empty).</t>
        </is>
      </c>
      <c r="G14" s="12" t="inlineStr">
        <is>
          <t>1. Open a tab that has no schedules</t>
        </is>
      </c>
      <c r="H14" s="12" t="inlineStr">
        <is>
          <t>N/A</t>
        </is>
      </c>
      <c r="I14" s="12" t="inlineStr">
        <is>
          <t>A centred empty state with calendar icon, 'No schedules found' and a 'Create Schedule' button is shown.</t>
        </is>
      </c>
      <c r="J14" s="12" t="inlineStr">
        <is>
          <t>N/A</t>
        </is>
      </c>
      <c r="K14" s="14" t="inlineStr"/>
      <c r="L14" s="15" t="inlineStr">
        <is>
          <t>Not Executed</t>
        </is>
      </c>
      <c r="M14" s="15" t="inlineStr"/>
      <c r="N14" s="15" t="inlineStr"/>
      <c r="O14" s="15" t="inlineStr"/>
      <c r="P14" s="14" t="inlineStr"/>
    </row>
    <row r="15" ht="45" customHeight="1">
      <c r="A15" s="11" t="inlineStr">
        <is>
          <t>SCH-014</t>
        </is>
      </c>
      <c r="B15" s="12" t="inlineStr">
        <is>
          <t>Schedule Calendar</t>
        </is>
      </c>
      <c r="C15" s="12" t="inlineStr">
        <is>
          <t>List load failure shows error banner</t>
        </is>
      </c>
      <c r="D15" s="19" t="inlineStr">
        <is>
          <t>Medium</t>
        </is>
      </c>
      <c r="E15" s="12" t="inlineStr">
        <is>
          <t>Negative</t>
        </is>
      </c>
      <c r="F15" s="12" t="inlineStr">
        <is>
          <t>Ability to simulate API failure (e.g. backend down / 500).</t>
        </is>
      </c>
      <c r="G15" s="12" t="inlineStr">
        <is>
          <t>1. With the schedules API failing, navigate to /saranam/scheduling</t>
        </is>
      </c>
      <c r="H15" s="12" t="inlineStr">
        <is>
          <t>N/A</t>
        </is>
      </c>
      <c r="I15" s="12" t="inlineStr">
        <is>
          <t>A dismissible error Alert 'Failed to load schedules' is shown; the page does not crash.</t>
        </is>
      </c>
      <c r="J15" s="12" t="inlineStr">
        <is>
          <t>GET /api/saranam/scheduling/schedules</t>
        </is>
      </c>
      <c r="K15" s="14" t="inlineStr"/>
      <c r="L15" s="15" t="inlineStr">
        <is>
          <t>Not Executed</t>
        </is>
      </c>
      <c r="M15" s="15" t="inlineStr"/>
      <c r="N15" s="15" t="inlineStr"/>
      <c r="O15" s="15" t="inlineStr"/>
      <c r="P15" s="14" t="inlineStr"/>
    </row>
    <row r="16" ht="90" customHeight="1">
      <c r="A16" s="16" t="inlineStr">
        <is>
          <t>SCH-015</t>
        </is>
      </c>
      <c r="B16" s="17" t="inlineStr">
        <is>
          <t>Weekly Planning Board</t>
        </is>
      </c>
      <c r="C16" s="17" t="inlineStr">
        <is>
          <t>Board loads draft schedule with sidebar, day columns and map</t>
        </is>
      </c>
      <c r="D16" s="21" t="inlineStr">
        <is>
          <t>High</t>
        </is>
      </c>
      <c r="E16" s="17" t="inlineStr">
        <is>
          <t>Functional</t>
        </is>
      </c>
      <c r="F16" s="17" t="inlineStr">
        <is>
          <t>A draft schedule with days exists; patient pool populated.</t>
        </is>
      </c>
      <c r="G16" s="17" t="inlineStr">
        <is>
          <t>1. Open /saranam/scheduling/board/:scheduleId for a draft
2. Wait for schedule then pool to hydrate</t>
        </is>
      </c>
      <c r="H16" s="17" t="inlineStr">
        <is>
          <t>N/A</t>
        </is>
      </c>
      <c r="I16" s="17" t="inlineStr">
        <is>
          <t>Header shows 'Weekly Planning', vehicle chip, status badge (Draft) and week range. Patient pool sidebar (draft only), day columns and the right route map render in Split View. A LinearProgress saving bar appears only during saves.</t>
        </is>
      </c>
      <c r="J16" s="17" t="inlineStr">
        <is>
          <t>GET /schedules/{id}; GET /patient-pool?per_page=150; GET /vehicles; GET /available-team; GET /config; POST /patient-pool/recalculate-priorities</t>
        </is>
      </c>
      <c r="K16" s="14" t="inlineStr"/>
      <c r="L16" s="15" t="inlineStr">
        <is>
          <t>Not Executed</t>
        </is>
      </c>
      <c r="M16" s="15" t="inlineStr"/>
      <c r="N16" s="15" t="inlineStr"/>
      <c r="O16" s="15" t="inlineStr"/>
      <c r="P16" s="14" t="inlineStr"/>
    </row>
    <row r="17" ht="90" customHeight="1">
      <c r="A17" s="16" t="inlineStr">
        <is>
          <t>SCH-016</t>
        </is>
      </c>
      <c r="B17" s="17" t="inlineStr">
        <is>
          <t>Weekly Planning Board</t>
        </is>
      </c>
      <c r="C17" s="17" t="inlineStr">
        <is>
          <t>Loading and progressive hydration states</t>
        </is>
      </c>
      <c r="D17" s="18" t="inlineStr">
        <is>
          <t>Medium</t>
        </is>
      </c>
      <c r="E17" s="17" t="inlineStr">
        <is>
          <t>UI/UX</t>
        </is>
      </c>
      <c r="F17" s="17" t="inlineStr">
        <is>
          <t>Draft schedule.</t>
        </is>
      </c>
      <c r="G17" s="17" t="inlineStr">
        <is>
          <t>1. Open the board and observe loading text
2. Observe the sidebar while pool loads</t>
        </is>
      </c>
      <c r="H17" s="17" t="inlineStr">
        <is>
          <t>N/A</t>
        </is>
      </c>
      <c r="I17" s="17" t="inlineStr">
        <is>
          <t>Full-page 'Loading schedule...' spinner with step text ('Fetching schedule' then 'Loading patient pool') until schedule lands; once board renders the sidebar shows its own 'Loading patient pool...' spinner until the pool fetch completes.</t>
        </is>
      </c>
      <c r="J17" s="17" t="inlineStr">
        <is>
          <t>GET /schedules/{id}; GET /patient-pool</t>
        </is>
      </c>
      <c r="K17" s="14" t="inlineStr"/>
      <c r="L17" s="15" t="inlineStr">
        <is>
          <t>Not Executed</t>
        </is>
      </c>
      <c r="M17" s="15" t="inlineStr"/>
      <c r="N17" s="15" t="inlineStr"/>
      <c r="O17" s="15" t="inlineStr"/>
      <c r="P17" s="14" t="inlineStr"/>
    </row>
    <row r="18" ht="60" customHeight="1">
      <c r="A18" s="16" t="inlineStr">
        <is>
          <t>SCH-017</t>
        </is>
      </c>
      <c r="B18" s="17" t="inlineStr">
        <is>
          <t>Weekly Planning Board</t>
        </is>
      </c>
      <c r="C18" s="17" t="inlineStr">
        <is>
          <t>Board load failure for missing/invalid scheduleId</t>
        </is>
      </c>
      <c r="D18" s="21" t="inlineStr">
        <is>
          <t>High</t>
        </is>
      </c>
      <c r="E18" s="17" t="inlineStr">
        <is>
          <t>Negative</t>
        </is>
      </c>
      <c r="F18" s="17" t="inlineStr">
        <is>
          <t>Logged in.</t>
        </is>
      </c>
      <c r="G18" s="17" t="inlineStr">
        <is>
          <t>1. Open /saranam/scheduling/board/00000000-0000-0000-0000-000000000000</t>
        </is>
      </c>
      <c r="H18" s="17" t="inlineStr">
        <is>
          <t>Non-existent GUID</t>
        </is>
      </c>
      <c r="I18" s="17" t="inlineStr">
        <is>
          <t>An error screen with AlertCircle icon, the error message and a 'Go Back' button is shown (backend returns 404 'Schedule not found').</t>
        </is>
      </c>
      <c r="J18" s="17" t="inlineStr">
        <is>
          <t>GET /api/saranam/scheduling/schedules/{id} -&gt; 404</t>
        </is>
      </c>
      <c r="K18" s="14" t="inlineStr"/>
      <c r="L18" s="15" t="inlineStr">
        <is>
          <t>Not Executed</t>
        </is>
      </c>
      <c r="M18" s="15" t="inlineStr"/>
      <c r="N18" s="15" t="inlineStr"/>
      <c r="O18" s="15" t="inlineStr"/>
      <c r="P18" s="14" t="inlineStr"/>
    </row>
    <row r="19" ht="45" customHeight="1">
      <c r="A19" s="16" t="inlineStr">
        <is>
          <t>SCH-018</t>
        </is>
      </c>
      <c r="B19" s="17" t="inlineStr">
        <is>
          <t>Weekly Planning Board</t>
        </is>
      </c>
      <c r="C19" s="17" t="inlineStr">
        <is>
          <t>Board with malformed (non-GUID) scheduleId</t>
        </is>
      </c>
      <c r="D19" s="22" t="inlineStr">
        <is>
          <t>Low</t>
        </is>
      </c>
      <c r="E19" s="17" t="inlineStr">
        <is>
          <t>Negative</t>
        </is>
      </c>
      <c r="F19" s="17" t="inlineStr">
        <is>
          <t>Logged in.</t>
        </is>
      </c>
      <c r="G19" s="17" t="inlineStr">
        <is>
          <t>1. Open /saranam/scheduling/board/not-a-guid</t>
        </is>
      </c>
      <c r="H19" s="17" t="inlineStr">
        <is>
          <t>scheduleId = 'not-a-guid'</t>
        </is>
      </c>
      <c r="I19" s="17" t="inlineStr">
        <is>
          <t>Backend route (uuid converter) does not match / returns error; the board surfaces a load error rather than crashing.</t>
        </is>
      </c>
      <c r="J19" s="17" t="inlineStr">
        <is>
          <t>GET /schedules/{id}</t>
        </is>
      </c>
      <c r="K19" s="14" t="inlineStr"/>
      <c r="L19" s="15" t="inlineStr">
        <is>
          <t>Not Executed</t>
        </is>
      </c>
      <c r="M19" s="15" t="inlineStr"/>
      <c r="N19" s="15" t="inlineStr"/>
      <c r="O19" s="15" t="inlineStr"/>
      <c r="P19" s="14" t="inlineStr"/>
    </row>
    <row r="20" ht="45" customHeight="1">
      <c r="A20" s="16" t="inlineStr">
        <is>
          <t>SCH-019</t>
        </is>
      </c>
      <c r="B20" s="17" t="inlineStr">
        <is>
          <t>Weekly Planning Board</t>
        </is>
      </c>
      <c r="C20" s="17" t="inlineStr">
        <is>
          <t>Patient pool search filters by name and zone</t>
        </is>
      </c>
      <c r="D20" s="18" t="inlineStr">
        <is>
          <t>Medium</t>
        </is>
      </c>
      <c r="E20" s="17" t="inlineStr">
        <is>
          <t>Functional</t>
        </is>
      </c>
      <c r="F20" s="17" t="inlineStr">
        <is>
          <t>Draft board with multiple pool patients.</t>
        </is>
      </c>
      <c r="G20" s="17" t="inlineStr">
        <is>
          <t>1. Type a patient name fragment in the sidebar search
2. Clear and type a zone like 'North'</t>
        </is>
      </c>
      <c r="H20" s="17" t="inlineStr">
        <is>
          <t>Search 'Lakshmi'; then 'North'</t>
        </is>
      </c>
      <c r="I20" s="17" t="inlineStr">
        <is>
          <t>Sidebar list narrows to patients whose name or cluster matches (case-insensitive). The 'N patients in pool' count updates.</t>
        </is>
      </c>
      <c r="J20" s="17" t="inlineStr">
        <is>
          <t>N/A (client filter of loaded pool)</t>
        </is>
      </c>
      <c r="K20" s="14" t="inlineStr"/>
      <c r="L20" s="15" t="inlineStr">
        <is>
          <t>Not Executed</t>
        </is>
      </c>
      <c r="M20" s="15" t="inlineStr"/>
      <c r="N20" s="15" t="inlineStr"/>
      <c r="O20" s="15" t="inlineStr"/>
      <c r="P20" s="14" t="inlineStr"/>
    </row>
    <row r="21" ht="75" customHeight="1">
      <c r="A21" s="16" t="inlineStr">
        <is>
          <t>SCH-020</t>
        </is>
      </c>
      <c r="B21" s="17" t="inlineStr">
        <is>
          <t>Weekly Planning Board</t>
        </is>
      </c>
      <c r="C21" s="17" t="inlineStr">
        <is>
          <t>Patient pool filter chips (BSC/Onco combinations + NEW)</t>
        </is>
      </c>
      <c r="D21" s="18" t="inlineStr">
        <is>
          <t>Medium</t>
        </is>
      </c>
      <c r="E21" s="17" t="inlineStr">
        <is>
          <t>Functional</t>
        </is>
      </c>
      <c r="F21" s="17" t="inlineStr">
        <is>
          <t>Pool has each combination of BSC/Onco and at least one is_new patient.</t>
        </is>
      </c>
      <c r="G21" s="17" t="inlineStr">
        <is>
          <t>1. Click each chip: All, BSC Onco, Non-BSC Onco, BSC Non-Onco, Non-BSC Non-Onco, NEW</t>
        </is>
      </c>
      <c r="H21" s="17" t="inlineStr">
        <is>
          <t>N/A</t>
        </is>
      </c>
      <c r="I21" s="17" t="inlineStr">
        <is>
          <t>List filters to the chosen segment; NEW shows only is_new patients. NEW patients render in a blue highlighted 'New - Needs First Visit' group, suggested ones in an orange 'Suggested for this week' group.</t>
        </is>
      </c>
      <c r="J21" s="17" t="inlineStr">
        <is>
          <t>N/A (client filter)</t>
        </is>
      </c>
      <c r="K21" s="14" t="inlineStr"/>
      <c r="L21" s="15" t="inlineStr">
        <is>
          <t>Not Executed</t>
        </is>
      </c>
      <c r="M21" s="15" t="inlineStr"/>
      <c r="N21" s="15" t="inlineStr"/>
      <c r="O21" s="15" t="inlineStr"/>
      <c r="P21" s="14" t="inlineStr"/>
    </row>
    <row r="22" ht="45" customHeight="1">
      <c r="A22" s="16" t="inlineStr">
        <is>
          <t>SCH-021</t>
        </is>
      </c>
      <c r="B22" s="17" t="inlineStr">
        <is>
          <t>Weekly Planning Board</t>
        </is>
      </c>
      <c r="C22" s="17" t="inlineStr">
        <is>
          <t>Pool 'Show more' pagination reveals additional patients</t>
        </is>
      </c>
      <c r="D22" s="22" t="inlineStr">
        <is>
          <t>Low</t>
        </is>
      </c>
      <c r="E22" s="17" t="inlineStr">
        <is>
          <t>Functional</t>
        </is>
      </c>
      <c r="F22" s="17" t="inlineStr">
        <is>
          <t>More than 20 non-suggested patients in pool.</t>
        </is>
      </c>
      <c r="G22" s="17" t="inlineStr">
        <is>
          <t>1. Scroll the 'All Patients' section
2. Click 'Show more (N remaining)'</t>
        </is>
      </c>
      <c r="H22" s="17" t="inlineStr">
        <is>
          <t>N/A</t>
        </is>
      </c>
      <c r="I22" s="17" t="inlineStr">
        <is>
          <t>20 more cards are appended each click; the remaining count decreases until all are shown.</t>
        </is>
      </c>
      <c r="J22" s="17" t="inlineStr">
        <is>
          <t>N/A</t>
        </is>
      </c>
      <c r="K22" s="14" t="inlineStr"/>
      <c r="L22" s="15" t="inlineStr">
        <is>
          <t>Not Executed</t>
        </is>
      </c>
      <c r="M22" s="15" t="inlineStr"/>
      <c r="N22" s="15" t="inlineStr"/>
      <c r="O22" s="15" t="inlineStr"/>
      <c r="P22" s="14" t="inlineStr"/>
    </row>
    <row r="23" ht="45" customHeight="1">
      <c r="A23" s="16" t="inlineStr">
        <is>
          <t>SCH-022</t>
        </is>
      </c>
      <c r="B23" s="17" t="inlineStr">
        <is>
          <t>Weekly Planning Board</t>
        </is>
      </c>
      <c r="C23" s="17" t="inlineStr">
        <is>
          <t>Quick add patient to a day via sidebar day buttons</t>
        </is>
      </c>
      <c r="D23" s="21" t="inlineStr">
        <is>
          <t>High</t>
        </is>
      </c>
      <c r="E23" s="17" t="inlineStr">
        <is>
          <t>Functional</t>
        </is>
      </c>
      <c r="F23" s="17" t="inlineStr">
        <is>
          <t>Draft board.</t>
        </is>
      </c>
      <c r="G23" s="17" t="inlineStr">
        <is>
          <t>1. On a sidebar patient card click an unscheduled day button (e.g. 'Wed')</t>
        </is>
      </c>
      <c r="H23" s="17" t="inlineStr">
        <is>
          <t>N/A</t>
        </is>
      </c>
      <c r="I23" s="17" t="inlineStr">
        <is>
          <t>The Add Patient modal opens pre-filled with that patient and day. (Already-scheduled days show green and are disabled.)</t>
        </is>
      </c>
      <c r="J23" s="17" t="inlineStr">
        <is>
          <t>N/A (opens modal)</t>
        </is>
      </c>
      <c r="K23" s="14" t="inlineStr"/>
      <c r="L23" s="15" t="inlineStr">
        <is>
          <t>Not Executed</t>
        </is>
      </c>
      <c r="M23" s="15" t="inlineStr"/>
      <c r="N23" s="15" t="inlineStr"/>
      <c r="O23" s="15" t="inlineStr"/>
      <c r="P23" s="14" t="inlineStr"/>
    </row>
    <row r="24" ht="75" customHeight="1">
      <c r="A24" s="16" t="inlineStr">
        <is>
          <t>SCH-023</t>
        </is>
      </c>
      <c r="B24" s="17" t="inlineStr">
        <is>
          <t>Weekly Planning Board</t>
        </is>
      </c>
      <c r="C24" s="17" t="inlineStr">
        <is>
          <t>Add Patient modal adds a slot with time/duration/vehicle/notes</t>
        </is>
      </c>
      <c r="D24" s="21" t="inlineStr">
        <is>
          <t>High</t>
        </is>
      </c>
      <c r="E24" s="17" t="inlineStr">
        <is>
          <t>Functional</t>
        </is>
      </c>
      <c r="F24" s="17" t="inlineStr">
        <is>
          <t>Draft board; vehicles configured.</t>
        </is>
      </c>
      <c r="G24" s="17" t="inlineStr">
        <is>
          <t>1. Click 'Add Patient to Day'
2. Search &amp; select a patient, select a day
3. Pick a vehicle, set duration 45, select an available time slot, add a note
4. Click 'Add to Schedule'</t>
        </is>
      </c>
      <c r="H24" s="17" t="inlineStr">
        <is>
          <t>Duration 45, time 10:00, note 'First visit, wound care'</t>
        </is>
      </c>
      <c r="I24" s="17" t="inlineStr">
        <is>
          <t>Slot is created on the chosen day with the chosen vehicle/time/duration/note; the board refreshes and the slot card shows time, duration and vehicle. Modal closes.</t>
        </is>
      </c>
      <c r="J24" s="17" t="inlineStr">
        <is>
          <t>POST /api/saranam/scheduling/days/{dayId}/slots {patient_id, scheduled_time, visit_duration_minutes, vehicle_id, exception_note}</t>
        </is>
      </c>
      <c r="K24" s="14" t="inlineStr"/>
      <c r="L24" s="15" t="inlineStr">
        <is>
          <t>Not Executed</t>
        </is>
      </c>
      <c r="M24" s="15" t="inlineStr"/>
      <c r="N24" s="15" t="inlineStr"/>
      <c r="O24" s="15" t="inlineStr"/>
      <c r="P24" s="14" t="inlineStr"/>
    </row>
    <row r="25" ht="45" customHeight="1">
      <c r="A25" s="16" t="inlineStr">
        <is>
          <t>SCH-024</t>
        </is>
      </c>
      <c r="B25" s="17" t="inlineStr">
        <is>
          <t>Weekly Planning Board</t>
        </is>
      </c>
      <c r="C25" s="17" t="inlineStr">
        <is>
          <t>Add to Schedule disabled without patient and day</t>
        </is>
      </c>
      <c r="D25" s="18" t="inlineStr">
        <is>
          <t>Medium</t>
        </is>
      </c>
      <c r="E25" s="17" t="inlineStr">
        <is>
          <t>Validation</t>
        </is>
      </c>
      <c r="F25" s="17" t="inlineStr">
        <is>
          <t>Add Patient modal open.</t>
        </is>
      </c>
      <c r="G25" s="17" t="inlineStr">
        <is>
          <t>1. Open modal but do not select a patient and/or day
2. Observe the Add to Schedule button</t>
        </is>
      </c>
      <c r="H25" s="17" t="inlineStr">
        <is>
          <t>N/A</t>
        </is>
      </c>
      <c r="I25" s="17" t="inlineStr">
        <is>
          <t>Add to Schedule button is disabled until both a patient and a day are selected.</t>
        </is>
      </c>
      <c r="J25" s="17" t="inlineStr">
        <is>
          <t>N/A</t>
        </is>
      </c>
      <c r="K25" s="14" t="inlineStr"/>
      <c r="L25" s="15" t="inlineStr">
        <is>
          <t>Not Executed</t>
        </is>
      </c>
      <c r="M25" s="15" t="inlineStr"/>
      <c r="N25" s="15" t="inlineStr"/>
      <c r="O25" s="15" t="inlineStr"/>
      <c r="P25" s="14" t="inlineStr"/>
    </row>
    <row r="26" ht="45" customHeight="1">
      <c r="A26" s="16" t="inlineStr">
        <is>
          <t>SCH-025</t>
        </is>
      </c>
      <c r="B26" s="17" t="inlineStr">
        <is>
          <t>Weekly Planning Board</t>
        </is>
      </c>
      <c r="C26" s="17" t="inlineStr">
        <is>
          <t>Visit duration is clamped to 15-180 minutes</t>
        </is>
      </c>
      <c r="D26" s="22" t="inlineStr">
        <is>
          <t>Low</t>
        </is>
      </c>
      <c r="E26" s="17" t="inlineStr">
        <is>
          <t>Validation</t>
        </is>
      </c>
      <c r="F26" s="17" t="inlineStr">
        <is>
          <t>Add Patient modal open.</t>
        </is>
      </c>
      <c r="G26" s="17" t="inlineStr">
        <is>
          <t>1. Type 5 then 999 then 'abc' in the Visit Duration field</t>
        </is>
      </c>
      <c r="H26" s="17" t="inlineStr">
        <is>
          <t>5, 999, abc</t>
        </is>
      </c>
      <c r="I26" s="17" t="inlineStr">
        <is>
          <t>Duration clamps to a minimum of 15 and maximum of 180; non-numeric input falls back to 60.</t>
        </is>
      </c>
      <c r="J26" s="17" t="inlineStr">
        <is>
          <t>N/A</t>
        </is>
      </c>
      <c r="K26" s="14" t="inlineStr"/>
      <c r="L26" s="15" t="inlineStr">
        <is>
          <t>Not Executed</t>
        </is>
      </c>
      <c r="M26" s="15" t="inlineStr"/>
      <c r="N26" s="15" t="inlineStr"/>
      <c r="O26" s="15" t="inlineStr"/>
      <c r="P26" s="14" t="inlineStr"/>
    </row>
    <row r="27" ht="75" customHeight="1">
      <c r="A27" s="16" t="inlineStr">
        <is>
          <t>SCH-026</t>
        </is>
      </c>
      <c r="B27" s="17" t="inlineStr">
        <is>
          <t>Weekly Planning Board</t>
        </is>
      </c>
      <c r="C27" s="17" t="inlineStr">
        <is>
          <t>Occupied time slots are disabled (double-book prevention)</t>
        </is>
      </c>
      <c r="D27" s="21" t="inlineStr">
        <is>
          <t>High</t>
        </is>
      </c>
      <c r="E27" s="17" t="inlineStr">
        <is>
          <t>Validation</t>
        </is>
      </c>
      <c r="F27" s="17" t="inlineStr">
        <is>
          <t>A day already has a slot at e.g. 10:00 for 60 min on a vehicle.</t>
        </is>
      </c>
      <c r="G27" s="17" t="inlineStr">
        <is>
          <t>1. Open Add Patient modal, select that day and the same vehicle
2. Inspect the time slot grid</t>
        </is>
      </c>
      <c r="H27" s="17" t="inlineStr">
        <is>
          <t>Existing 10:00 / 60 min visit</t>
        </is>
      </c>
      <c r="I27" s="17" t="inlineStr">
        <is>
          <t>Times overlapping the existing visit (10:00, 10:30) appear struck-through and disabled for the same vehicle; selecting a different vehicle frees those slots (independent vehicle timelines).</t>
        </is>
      </c>
      <c r="J27" s="17" t="inlineStr">
        <is>
          <t>N/A (client conflict check)</t>
        </is>
      </c>
      <c r="K27" s="14" t="inlineStr"/>
      <c r="L27" s="15" t="inlineStr">
        <is>
          <t>Not Executed</t>
        </is>
      </c>
      <c r="M27" s="15" t="inlineStr"/>
      <c r="N27" s="15" t="inlineStr"/>
      <c r="O27" s="15" t="inlineStr"/>
      <c r="P27" s="14" t="inlineStr"/>
    </row>
    <row r="28" ht="45" customHeight="1">
      <c r="A28" s="16" t="inlineStr">
        <is>
          <t>SCH-027</t>
        </is>
      </c>
      <c r="B28" s="17" t="inlineStr">
        <is>
          <t>Weekly Planning Board</t>
        </is>
      </c>
      <c r="C28" s="17" t="inlineStr">
        <is>
          <t>Time conflict warning when overlapping an existing visit</t>
        </is>
      </c>
      <c r="D28" s="18" t="inlineStr">
        <is>
          <t>Medium</t>
        </is>
      </c>
      <c r="E28" s="17" t="inlineStr">
        <is>
          <t>Validation</t>
        </is>
      </c>
      <c r="F28" s="17" t="inlineStr">
        <is>
          <t>Day with an existing visit.</t>
        </is>
      </c>
      <c r="G28" s="17" t="inlineStr">
        <is>
          <t>1. Pick a duration and a start time that overlaps the existing visit window</t>
        </is>
      </c>
      <c r="H28" s="17" t="inlineStr">
        <is>
          <t>N/A</t>
        </is>
      </c>
      <c r="I28" s="17" t="inlineStr">
        <is>
          <t>An amber warning Alert 'This time overlaps with an existing visit - there may be a conflict.' is shown.</t>
        </is>
      </c>
      <c r="J28" s="17" t="inlineStr">
        <is>
          <t>N/A</t>
        </is>
      </c>
      <c r="K28" s="14" t="inlineStr"/>
      <c r="L28" s="15" t="inlineStr">
        <is>
          <t>Not Executed</t>
        </is>
      </c>
      <c r="M28" s="15" t="inlineStr"/>
      <c r="N28" s="15" t="inlineStr"/>
      <c r="O28" s="15" t="inlineStr"/>
      <c r="P28" s="14" t="inlineStr"/>
    </row>
    <row r="29" ht="60" customHeight="1">
      <c r="A29" s="16" t="inlineStr">
        <is>
          <t>SCH-028</t>
        </is>
      </c>
      <c r="B29" s="17" t="inlineStr">
        <is>
          <t>Weekly Planning Board</t>
        </is>
      </c>
      <c r="C29" s="17" t="inlineStr">
        <is>
          <t>Travel-time warnings flag tight slots (red/amber)</t>
        </is>
      </c>
      <c r="D29" s="18" t="inlineStr">
        <is>
          <t>Medium</t>
        </is>
      </c>
      <c r="E29" s="17" t="inlineStr">
        <is>
          <t>Edge Case</t>
        </is>
      </c>
      <c r="F29" s="17" t="inlineStr">
        <is>
          <t>Day already has GPS patients with scheduled times; selected patient has GPS far away.</t>
        </is>
      </c>
      <c r="G29" s="17" t="inlineStr">
        <is>
          <t>1. Select a far patient and day with existing timed visits
2. Hover time slots and observe markers + selecting a tight slot</t>
        </is>
      </c>
      <c r="H29" s="17" t="inlineStr">
        <is>
          <t>Far-apart GPS patients</t>
        </is>
      </c>
      <c r="I29" s="17" t="inlineStr">
        <is>
          <t>Time slots that cannot be reached in time show a red/amber dot and tooltip estimating travel minutes/distance; selecting one shows a 'Travel warning' Alert.</t>
        </is>
      </c>
      <c r="J29" s="17" t="inlineStr">
        <is>
          <t>N/A (client haversine estimate)</t>
        </is>
      </c>
      <c r="K29" s="14" t="inlineStr"/>
      <c r="L29" s="15" t="inlineStr">
        <is>
          <t>Not Executed</t>
        </is>
      </c>
      <c r="M29" s="15" t="inlineStr"/>
      <c r="N29" s="15" t="inlineStr"/>
      <c r="O29" s="15" t="inlineStr"/>
      <c r="P29" s="14" t="inlineStr"/>
    </row>
    <row r="30" ht="75" customHeight="1">
      <c r="A30" s="16" t="inlineStr">
        <is>
          <t>SCH-029</t>
        </is>
      </c>
      <c r="B30" s="17" t="inlineStr">
        <is>
          <t>Weekly Planning Board</t>
        </is>
      </c>
      <c r="C30" s="17" t="inlineStr">
        <is>
          <t>Distance-to-scheduled-patients and hospital distance display</t>
        </is>
      </c>
      <c r="D30" s="22" t="inlineStr">
        <is>
          <t>Low</t>
        </is>
      </c>
      <c r="E30" s="17" t="inlineStr">
        <is>
          <t>UI/UX</t>
        </is>
      </c>
      <c r="F30" s="17" t="inlineStr">
        <is>
          <t>Selected patient and day have GPS; other timed patients on day have GPS.</t>
        </is>
      </c>
      <c r="G30" s="17" t="inlineStr">
        <is>
          <t>1. In Add Patient modal select a patient with GPS and a day with other GPS patients</t>
        </is>
      </c>
      <c r="H30" s="17" t="inlineStr">
        <is>
          <t>N/A</t>
        </is>
      </c>
      <c r="I30" s="17" t="inlineStr">
        <is>
          <t>Selected patient card shows distance from its linked hospital (green tick within radius / amber cross outside) and a list of km distances to other patients already scheduled that day.</t>
        </is>
      </c>
      <c r="J30" s="17" t="inlineStr">
        <is>
          <t>N/A</t>
        </is>
      </c>
      <c r="K30" s="14" t="inlineStr"/>
      <c r="L30" s="15" t="inlineStr">
        <is>
          <t>Not Executed</t>
        </is>
      </c>
      <c r="M30" s="15" t="inlineStr"/>
      <c r="N30" s="15" t="inlineStr"/>
      <c r="O30" s="15" t="inlineStr"/>
      <c r="P30" s="14" t="inlineStr"/>
    </row>
    <row r="31" ht="60" customHeight="1">
      <c r="A31" s="16" t="inlineStr">
        <is>
          <t>SCH-030</t>
        </is>
      </c>
      <c r="B31" s="17" t="inlineStr">
        <is>
          <t>Weekly Planning Board</t>
        </is>
      </c>
      <c r="C31" s="17" t="inlineStr">
        <is>
          <t>Smart vehicle suggestion appears in Add Patient modal</t>
        </is>
      </c>
      <c r="D31" s="22" t="inlineStr">
        <is>
          <t>Low</t>
        </is>
      </c>
      <c r="E31" s="17" t="inlineStr">
        <is>
          <t>Functional</t>
        </is>
      </c>
      <c r="F31" s="17" t="inlineStr">
        <is>
          <t>Two+ vehicles; day has slots on one vehicle in the patient's zone.</t>
        </is>
      </c>
      <c r="G31" s="17" t="inlineStr">
        <is>
          <t>1. Select a patient whose zone matches a vehicle already routed that day</t>
        </is>
      </c>
      <c r="H31" s="17" t="inlineStr">
        <is>
          <t>N/A</t>
        </is>
      </c>
      <c r="I31" s="17" t="inlineStr">
        <is>
          <t>A blue 'Use &lt;Vehicle&gt;' suggestion banner appears explaining the vehicle already has same-zone patients; clicking it sets the vehicle dropdown.</t>
        </is>
      </c>
      <c r="J31" s="17" t="inlineStr">
        <is>
          <t>N/A</t>
        </is>
      </c>
      <c r="K31" s="14" t="inlineStr"/>
      <c r="L31" s="15" t="inlineStr">
        <is>
          <t>Not Executed</t>
        </is>
      </c>
      <c r="M31" s="15" t="inlineStr"/>
      <c r="N31" s="15" t="inlineStr"/>
      <c r="O31" s="15" t="inlineStr"/>
      <c r="P31" s="14" t="inlineStr"/>
    </row>
    <row r="32" ht="45" customHeight="1">
      <c r="A32" s="16" t="inlineStr">
        <is>
          <t>SCH-031</t>
        </is>
      </c>
      <c r="B32" s="17" t="inlineStr">
        <is>
          <t>Weekly Planning Board</t>
        </is>
      </c>
      <c r="C32" s="17" t="inlineStr">
        <is>
          <t>Drag-and-drop move slot across days</t>
        </is>
      </c>
      <c r="D32" s="21" t="inlineStr">
        <is>
          <t>High</t>
        </is>
      </c>
      <c r="E32" s="17" t="inlineStr">
        <is>
          <t>Functional</t>
        </is>
      </c>
      <c r="F32" s="17" t="inlineStr">
        <is>
          <t>Draft board with a slot on Monday.</t>
        </is>
      </c>
      <c r="G32" s="17" t="inlineStr">
        <is>
          <t>1. Drag a slot card from the Monday column and drop it onto the Wednesday column</t>
        </is>
      </c>
      <c r="H32" s="17" t="inlineStr">
        <is>
          <t>N/A</t>
        </is>
      </c>
      <c r="I32" s="17" t="inlineStr">
        <is>
          <t>Slot moves to Wednesday; saving bar shows; board reloads with the slot now under Wednesday.</t>
        </is>
      </c>
      <c r="J32" s="17" t="inlineStr">
        <is>
          <t>POST /api/saranam/scheduling/slots/{slotId}/move {to_day_id, new_slot_order:0}</t>
        </is>
      </c>
      <c r="K32" s="14" t="inlineStr"/>
      <c r="L32" s="15" t="inlineStr">
        <is>
          <t>Not Executed</t>
        </is>
      </c>
      <c r="M32" s="15" t="inlineStr"/>
      <c r="N32" s="15" t="inlineStr"/>
      <c r="O32" s="15" t="inlineStr"/>
      <c r="P32" s="14" t="inlineStr"/>
    </row>
    <row r="33" ht="60" customHeight="1">
      <c r="A33" s="16" t="inlineStr">
        <is>
          <t>SCH-032</t>
        </is>
      </c>
      <c r="B33" s="17" t="inlineStr">
        <is>
          <t>Weekly Planning Board</t>
        </is>
      </c>
      <c r="C33" s="17" t="inlineStr">
        <is>
          <t>Drag-and-drop reorder slots within a day</t>
        </is>
      </c>
      <c r="D33" s="21" t="inlineStr">
        <is>
          <t>High</t>
        </is>
      </c>
      <c r="E33" s="17" t="inlineStr">
        <is>
          <t>Functional</t>
        </is>
      </c>
      <c r="F33" s="17" t="inlineStr">
        <is>
          <t>Draft board with 2+ slots on the same day.</t>
        </is>
      </c>
      <c r="G33" s="17" t="inlineStr">
        <is>
          <t>1. Drag a slot above/below another within the same day column
2. Observe the live km preview while dragging then drop</t>
        </is>
      </c>
      <c r="H33" s="17" t="inlineStr">
        <is>
          <t>N/A</t>
        </is>
      </c>
      <c r="I33" s="17" t="inlineStr">
        <is>
          <t>Order changes and persists; during drag a route km preview (current -&gt; preview, with delta) shows in the day header. Reorder is saved.</t>
        </is>
      </c>
      <c r="J33" s="17" t="inlineStr">
        <is>
          <t>POST /api/saranam/scheduling/days/{dayId}/reorder {slot_ids:[...]}</t>
        </is>
      </c>
      <c r="K33" s="14" t="inlineStr"/>
      <c r="L33" s="15" t="inlineStr">
        <is>
          <t>Not Executed</t>
        </is>
      </c>
      <c r="M33" s="15" t="inlineStr"/>
      <c r="N33" s="15" t="inlineStr"/>
      <c r="O33" s="15" t="inlineStr"/>
      <c r="P33" s="14" t="inlineStr"/>
    </row>
    <row r="34" ht="60" customHeight="1">
      <c r="A34" s="16" t="inlineStr">
        <is>
          <t>SCH-033</t>
        </is>
      </c>
      <c r="B34" s="17" t="inlineStr">
        <is>
          <t>Weekly Planning Board</t>
        </is>
      </c>
      <c r="C34" s="17" t="inlineStr">
        <is>
          <t>Drag-and-drop is disabled for non-draft schedules</t>
        </is>
      </c>
      <c r="D34" s="18" t="inlineStr">
        <is>
          <t>Medium</t>
        </is>
      </c>
      <c r="E34" s="17" t="inlineStr">
        <is>
          <t>Permission</t>
        </is>
      </c>
      <c r="F34" s="17" t="inlineStr">
        <is>
          <t>A submitted/approved/in_progress schedule open on the board.</t>
        </is>
      </c>
      <c r="G34" s="17" t="inlineStr">
        <is>
          <t>1. Open a non-draft schedule and attempt to drag a slot</t>
        </is>
      </c>
      <c r="H34" s="17" t="inlineStr">
        <is>
          <t>N/A</t>
        </is>
      </c>
      <c r="I34" s="17" t="inlineStr">
        <is>
          <t>Slots are not draggable (no grip handle / drag ignored); sidebar pool is hidden; no move/reorder API fires. Slot remove (X) is also hidden.</t>
        </is>
      </c>
      <c r="J34" s="17" t="inlineStr">
        <is>
          <t>N/A</t>
        </is>
      </c>
      <c r="K34" s="14" t="inlineStr"/>
      <c r="L34" s="15" t="inlineStr">
        <is>
          <t>Not Executed</t>
        </is>
      </c>
      <c r="M34" s="15" t="inlineStr"/>
      <c r="N34" s="15" t="inlineStr"/>
      <c r="O34" s="15" t="inlineStr"/>
      <c r="P34" s="14" t="inlineStr"/>
    </row>
    <row r="35" ht="30" customHeight="1">
      <c r="A35" s="16" t="inlineStr">
        <is>
          <t>SCH-034</t>
        </is>
      </c>
      <c r="B35" s="17" t="inlineStr">
        <is>
          <t>Weekly Planning Board</t>
        </is>
      </c>
      <c r="C35" s="17" t="inlineStr">
        <is>
          <t>Remove a slot from a day (draft only)</t>
        </is>
      </c>
      <c r="D35" s="21" t="inlineStr">
        <is>
          <t>High</t>
        </is>
      </c>
      <c r="E35" s="17" t="inlineStr">
        <is>
          <t>Functional</t>
        </is>
      </c>
      <c r="F35" s="17" t="inlineStr">
        <is>
          <t>Draft board with slots.</t>
        </is>
      </c>
      <c r="G35" s="17" t="inlineStr">
        <is>
          <t>1. Hover a slot card and click the X remove icon</t>
        </is>
      </c>
      <c r="H35" s="17" t="inlineStr">
        <is>
          <t>Reason auto 'Removed from planning board'</t>
        </is>
      </c>
      <c r="I35" s="17" t="inlineStr">
        <is>
          <t>Slot is removed; board reloads without it. Audit entry created server-side.</t>
        </is>
      </c>
      <c r="J35" s="17" t="inlineStr">
        <is>
          <t>DELETE /api/saranam/scheduling/slots/{slotId} {reason}</t>
        </is>
      </c>
      <c r="K35" s="14" t="inlineStr"/>
      <c r="L35" s="15" t="inlineStr">
        <is>
          <t>Not Executed</t>
        </is>
      </c>
      <c r="M35" s="15" t="inlineStr"/>
      <c r="N35" s="15" t="inlineStr"/>
      <c r="O35" s="15" t="inlineStr"/>
      <c r="P35" s="14" t="inlineStr"/>
    </row>
    <row r="36" ht="75" customHeight="1">
      <c r="A36" s="16" t="inlineStr">
        <is>
          <t>SCH-035</t>
        </is>
      </c>
      <c r="B36" s="17" t="inlineStr">
        <is>
          <t>Weekly Planning Board</t>
        </is>
      </c>
      <c r="C36" s="17" t="inlineStr">
        <is>
          <t>Optimize route button reorders by nearest-neighbour / Google</t>
        </is>
      </c>
      <c r="D36" s="18" t="inlineStr">
        <is>
          <t>Medium</t>
        </is>
      </c>
      <c r="E36" s="17" t="inlineStr">
        <is>
          <t>Functional</t>
        </is>
      </c>
      <c r="F36" s="17" t="inlineStr">
        <is>
          <t>Draft day with 2+ GPS patients.</t>
        </is>
      </c>
      <c r="G36" s="17" t="inlineStr">
        <is>
          <t>1. Click the Route (optimize) icon in a day header</t>
        </is>
      </c>
      <c r="H36" s="17" t="inlineStr">
        <is>
          <t>N/A</t>
        </is>
      </c>
      <c r="I36" s="17" t="inlineStr">
        <is>
          <t>Slots reorder for shortest route; a flash badge shows before -&gt; after km and km saved for ~5s. Uses Google Directions optimizeWaypoints when Maps loaded, else nearest-neighbour fallback.</t>
        </is>
      </c>
      <c r="J36" s="17" t="inlineStr">
        <is>
          <t>POST /api/saranam/scheduling/days/{dayId}/reorder</t>
        </is>
      </c>
      <c r="K36" s="14" t="inlineStr"/>
      <c r="L36" s="15" t="inlineStr">
        <is>
          <t>Not Executed</t>
        </is>
      </c>
      <c r="M36" s="15" t="inlineStr"/>
      <c r="N36" s="15" t="inlineStr"/>
      <c r="O36" s="15" t="inlineStr"/>
      <c r="P36" s="14" t="inlineStr"/>
    </row>
    <row r="37" ht="75" customHeight="1">
      <c r="A37" s="16" t="inlineStr">
        <is>
          <t>SCH-036</t>
        </is>
      </c>
      <c r="B37" s="17" t="inlineStr">
        <is>
          <t>Weekly Planning Board</t>
        </is>
      </c>
      <c r="C37" s="17" t="inlineStr">
        <is>
          <t>Suggest Patients on an empty day proposes zone-based assignments</t>
        </is>
      </c>
      <c r="D37" s="18" t="inlineStr">
        <is>
          <t>Medium</t>
        </is>
      </c>
      <c r="E37" s="17" t="inlineStr">
        <is>
          <t>Functional</t>
        </is>
      </c>
      <c r="F37" s="17" t="inlineStr">
        <is>
          <t>Draft board; an empty day; unscheduled GPS patients in pool.</t>
        </is>
      </c>
      <c r="G37" s="17" t="inlineStr">
        <is>
          <t>1. On an empty day click 'Suggest Patients'
2. Review recommendation options</t>
        </is>
      </c>
      <c r="H37" s="17" t="inlineStr">
        <is>
          <t>N/A</t>
        </is>
      </c>
      <c r="I37" s="17" t="inlineStr">
        <is>
          <t>A Recommendations panel lists zone options each with estimated total km and per-vehicle patient breakdown, sorted by lowest km. 'All patients are scheduled' shows when none remain. Dismiss closes the panel.</t>
        </is>
      </c>
      <c r="J37" s="17" t="inlineStr">
        <is>
          <t>N/A (client computation over pool)</t>
        </is>
      </c>
      <c r="K37" s="14" t="inlineStr"/>
      <c r="L37" s="15" t="inlineStr">
        <is>
          <t>Not Executed</t>
        </is>
      </c>
      <c r="M37" s="15" t="inlineStr"/>
      <c r="N37" s="15" t="inlineStr"/>
      <c r="O37" s="15" t="inlineStr"/>
      <c r="P37" s="14" t="inlineStr"/>
    </row>
    <row r="38" ht="60" customHeight="1">
      <c r="A38" s="16" t="inlineStr">
        <is>
          <t>SCH-037</t>
        </is>
      </c>
      <c r="B38" s="17" t="inlineStr">
        <is>
          <t>Weekly Planning Board</t>
        </is>
      </c>
      <c r="C38" s="17" t="inlineStr">
        <is>
          <t>Accept a suggestion adds patients with sequential times</t>
        </is>
      </c>
      <c r="D38" s="18" t="inlineStr">
        <is>
          <t>Medium</t>
        </is>
      </c>
      <c r="E38" s="17" t="inlineStr">
        <is>
          <t>Functional</t>
        </is>
      </c>
      <c r="F38" s="17" t="inlineStr">
        <is>
          <t>Suggestion panel open with at least one option.</t>
        </is>
      </c>
      <c r="G38" s="17" t="inlineStr">
        <is>
          <t>1. Click 'Accept (N patients, M vehicles)' on an option</t>
        </is>
      </c>
      <c r="H38" s="17" t="inlineStr">
        <is>
          <t>N/A</t>
        </is>
      </c>
      <c r="I38" s="17" t="inlineStr">
        <is>
          <t>Each suggested patient is added to the day with its vehicle, starting 09:00 and incrementing hourly, duration 60; board reloads and panel closes.</t>
        </is>
      </c>
      <c r="J38" s="17" t="inlineStr">
        <is>
          <t>POST /api/saranam/scheduling/days/{dayId}/slots (one call per patient)</t>
        </is>
      </c>
      <c r="K38" s="14" t="inlineStr"/>
      <c r="L38" s="15" t="inlineStr">
        <is>
          <t>Not Executed</t>
        </is>
      </c>
      <c r="M38" s="15" t="inlineStr"/>
      <c r="N38" s="15" t="inlineStr"/>
      <c r="O38" s="15" t="inlineStr"/>
      <c r="P38" s="14" t="inlineStr"/>
    </row>
    <row r="39" ht="60" customHeight="1">
      <c r="A39" s="16" t="inlineStr">
        <is>
          <t>SCH-038</t>
        </is>
      </c>
      <c r="B39" s="17" t="inlineStr">
        <is>
          <t>Weekly Planning Board</t>
        </is>
      </c>
      <c r="C39" s="17" t="inlineStr">
        <is>
          <t>Capacity indicator turns warning/error as day fills</t>
        </is>
      </c>
      <c r="D39" s="18" t="inlineStr">
        <is>
          <t>Medium</t>
        </is>
      </c>
      <c r="E39" s="17" t="inlineStr">
        <is>
          <t>UI/UX</t>
        </is>
      </c>
      <c r="F39" s="17" t="inlineStr">
        <is>
          <t>Config max_patients_per_vehicle_per_day known; multiple vehicles.</t>
        </is>
      </c>
      <c r="G39" s="17" t="inlineStr">
        <is>
          <t>1. Add patients to a day until count equals then exceeds maxPatients (max_per_vehicle x vehicles)</t>
        </is>
      </c>
      <c r="H39" s="17" t="inlineStr">
        <is>
          <t>N/A</t>
        </is>
      </c>
      <c r="I39" s="17" t="inlineStr">
        <is>
          <t>The N/max chip is default below max, warning (amber) at max, and error (red) above max. The backend still accepts adds (soft limit / UI warning).</t>
        </is>
      </c>
      <c r="J39" s="17" t="inlineStr">
        <is>
          <t>N/A</t>
        </is>
      </c>
      <c r="K39" s="14" t="inlineStr"/>
      <c r="L39" s="15" t="inlineStr">
        <is>
          <t>Not Executed</t>
        </is>
      </c>
      <c r="M39" s="15" t="inlineStr"/>
      <c r="N39" s="15" t="inlineStr"/>
      <c r="O39" s="15" t="inlineStr"/>
      <c r="P39" s="14" t="inlineStr"/>
    </row>
    <row r="40" ht="75" customHeight="1">
      <c r="A40" s="16" t="inlineStr">
        <is>
          <t>SCH-039</t>
        </is>
      </c>
      <c r="B40" s="17" t="inlineStr">
        <is>
          <t>Weekly Planning Board</t>
        </is>
      </c>
      <c r="C40" s="17" t="inlineStr">
        <is>
          <t>Team assignment add/remove per day and vehicle</t>
        </is>
      </c>
      <c r="D40" s="21" t="inlineStr">
        <is>
          <t>High</t>
        </is>
      </c>
      <c r="E40" s="17" t="inlineStr">
        <is>
          <t>Functional</t>
        </is>
      </c>
      <c r="F40" s="17" t="inlineStr">
        <is>
          <t>Board with slots; providers with specializations exist.</t>
        </is>
      </c>
      <c r="G40" s="17" t="inlineStr">
        <is>
          <t>1. Expand 'Team Assignments'
2. For a day/vehicle click 'Add Team Member', pick a specialization then a provider
3. Then remove one member via its X</t>
        </is>
      </c>
      <c r="H40" s="17" t="inlineStr">
        <is>
          <t>Specialization 'Nursing' -&gt; provider e.g. 'Sr. Mary Joseph'</t>
        </is>
      </c>
      <c r="I40" s="17" t="inlineStr">
        <is>
          <t>Member is added under the day/vehicle and persists after reload; removing posts the updated assignments list. Each vehicle group shows its own team when multiple vehicles are used.</t>
        </is>
      </c>
      <c r="J40" s="17" t="inlineStr">
        <is>
          <t>PUT /api/saranam/scheduling/days/{dayId}/team {assignments, vehicle_id}</t>
        </is>
      </c>
      <c r="K40" s="14" t="inlineStr"/>
      <c r="L40" s="15" t="inlineStr">
        <is>
          <t>Not Executed</t>
        </is>
      </c>
      <c r="M40" s="15" t="inlineStr"/>
      <c r="N40" s="15" t="inlineStr"/>
      <c r="O40" s="15" t="inlineStr"/>
      <c r="P40" s="14" t="inlineStr"/>
    </row>
    <row r="41" ht="60" customHeight="1">
      <c r="A41" s="16" t="inlineStr">
        <is>
          <t>SCH-040</t>
        </is>
      </c>
      <c r="B41" s="17" t="inlineStr">
        <is>
          <t>Weekly Planning Board</t>
        </is>
      </c>
      <c r="C41" s="17" t="inlineStr">
        <is>
          <t>View toggle Split / Schedule Only / Map Only</t>
        </is>
      </c>
      <c r="D41" s="22" t="inlineStr">
        <is>
          <t>Low</t>
        </is>
      </c>
      <c r="E41" s="17" t="inlineStr">
        <is>
          <t>UI/UX</t>
        </is>
      </c>
      <c r="F41" s="17" t="inlineStr">
        <is>
          <t>Board with days having patients.</t>
        </is>
      </c>
      <c r="G41" s="17" t="inlineStr">
        <is>
          <t>1. Click Split View, then Schedule Only, then Map Only</t>
        </is>
      </c>
      <c r="H41" s="17" t="inlineStr">
        <is>
          <t>N/A</t>
        </is>
      </c>
      <c r="I41" s="17" t="inlineStr">
        <is>
          <t>Split shows columns + side map; Schedule Only hides the map; Map Only shows a full-width route map. Active toggle is highlighted blue.</t>
        </is>
      </c>
      <c r="J41" s="17" t="inlineStr">
        <is>
          <t>N/A</t>
        </is>
      </c>
      <c r="K41" s="14" t="inlineStr"/>
      <c r="L41" s="15" t="inlineStr">
        <is>
          <t>Not Executed</t>
        </is>
      </c>
      <c r="M41" s="15" t="inlineStr"/>
      <c r="N41" s="15" t="inlineStr"/>
      <c r="O41" s="15" t="inlineStr"/>
      <c r="P41" s="14" t="inlineStr"/>
    </row>
    <row r="42" ht="60" customHeight="1">
      <c r="A42" s="16" t="inlineStr">
        <is>
          <t>SCH-041</t>
        </is>
      </c>
      <c r="B42" s="17" t="inlineStr">
        <is>
          <t>Weekly Planning Board</t>
        </is>
      </c>
      <c r="C42" s="17" t="inlineStr">
        <is>
          <t>Route map day navigation (prev/next) and day selection</t>
        </is>
      </c>
      <c r="D42" s="18" t="inlineStr">
        <is>
          <t>Medium</t>
        </is>
      </c>
      <c r="E42" s="17" t="inlineStr">
        <is>
          <t>Functional</t>
        </is>
      </c>
      <c r="F42" s="17" t="inlineStr">
        <is>
          <t>Board with multiple days.</t>
        </is>
      </c>
      <c r="G42" s="17" t="inlineStr">
        <is>
          <t>1. Click a day column to select it (map updates)
2. Use the map's ChevronLeft/Right to step through days
3. Confirm arrows disable at first/last day</t>
        </is>
      </c>
      <c r="H42" s="17" t="inlineStr">
        <is>
          <t>N/A</t>
        </is>
      </c>
      <c r="I42" s="17" t="inlineStr">
        <is>
          <t>Map shows the selected day's slots; clicking a column or prev/next changes the mapped day; left arrow disabled on first day, right arrow on last.</t>
        </is>
      </c>
      <c r="J42" s="17" t="inlineStr">
        <is>
          <t>N/A</t>
        </is>
      </c>
      <c r="K42" s="14" t="inlineStr"/>
      <c r="L42" s="15" t="inlineStr">
        <is>
          <t>Not Executed</t>
        </is>
      </c>
      <c r="M42" s="15" t="inlineStr"/>
      <c r="N42" s="15" t="inlineStr"/>
      <c r="O42" s="15" t="inlineStr"/>
      <c r="P42" s="14" t="inlineStr"/>
    </row>
    <row r="43" ht="75" customHeight="1">
      <c r="A43" s="16" t="inlineStr">
        <is>
          <t>SCH-042</t>
        </is>
      </c>
      <c r="B43" s="17" t="inlineStr">
        <is>
          <t>Weekly Planning Board</t>
        </is>
      </c>
      <c r="C43" s="17" t="inlineStr">
        <is>
          <t>Stats bar: BSC coverage, scheduled count, cluster efficiency, overdue alerts</t>
        </is>
      </c>
      <c r="D43" s="18" t="inlineStr">
        <is>
          <t>Medium</t>
        </is>
      </c>
      <c r="E43" s="17" t="inlineStr">
        <is>
          <t>Functional</t>
        </is>
      </c>
      <c r="F43" s="17" t="inlineStr">
        <is>
          <t>Pool with BSC patients and patients with days_since_last_visit &gt;=20 and &gt;=30.</t>
        </is>
      </c>
      <c r="G43" s="17" t="inlineStr">
        <is>
          <t>1. Observe the stats bar at the top of the board</t>
        </is>
      </c>
      <c r="H43" s="17" t="inlineStr">
        <is>
          <t>N/A</t>
        </is>
      </c>
      <c r="I43" s="17" t="inlineStr">
        <is>
          <t>Shows overdue (30d+) and approaching (20-29d) alert chips when present, BSC coverage progress + ratio %, total patients scheduled, average cluster efficiency %, and hospital/service-radius info.</t>
        </is>
      </c>
      <c r="J43" s="17" t="inlineStr">
        <is>
          <t>N/A (derived from /schedules + /patient-pool)</t>
        </is>
      </c>
      <c r="K43" s="14" t="inlineStr"/>
      <c r="L43" s="15" t="inlineStr">
        <is>
          <t>Not Executed</t>
        </is>
      </c>
      <c r="M43" s="15" t="inlineStr"/>
      <c r="N43" s="15" t="inlineStr"/>
      <c r="O43" s="15" t="inlineStr"/>
      <c r="P43" s="14" t="inlineStr"/>
    </row>
    <row r="44" ht="45" customHeight="1">
      <c r="A44" s="16" t="inlineStr">
        <is>
          <t>SCH-043</t>
        </is>
      </c>
      <c r="B44" s="17" t="inlineStr">
        <is>
          <t>Weekly Planning Board</t>
        </is>
      </c>
      <c r="C44" s="17" t="inlineStr">
        <is>
          <t>Refresh on board re-fetches schedule, pool and team</t>
        </is>
      </c>
      <c r="D44" s="22" t="inlineStr">
        <is>
          <t>Low</t>
        </is>
      </c>
      <c r="E44" s="17" t="inlineStr">
        <is>
          <t>Functional</t>
        </is>
      </c>
      <c r="F44" s="17" t="inlineStr">
        <is>
          <t>Board open.</t>
        </is>
      </c>
      <c r="G44" s="17" t="inlineStr">
        <is>
          <t>1. Click the RefreshCw icon in the board header</t>
        </is>
      </c>
      <c r="H44" s="17" t="inlineStr">
        <is>
          <t>N/A</t>
        </is>
      </c>
      <c r="I44" s="17" t="inlineStr">
        <is>
          <t>Schedule, pool and team reload; saving/loading indicators show briefly; UI reflects latest data.</t>
        </is>
      </c>
      <c r="J44" s="17" t="inlineStr">
        <is>
          <t>GET /schedules/{id}; GET /patient-pool; GET /available-team</t>
        </is>
      </c>
      <c r="K44" s="14" t="inlineStr"/>
      <c r="L44" s="15" t="inlineStr">
        <is>
          <t>Not Executed</t>
        </is>
      </c>
      <c r="M44" s="15" t="inlineStr"/>
      <c r="N44" s="15" t="inlineStr"/>
      <c r="O44" s="15" t="inlineStr"/>
      <c r="P44" s="14" t="inlineStr"/>
    </row>
    <row r="45" ht="75" customHeight="1">
      <c r="A45" s="11" t="inlineStr">
        <is>
          <t>SCH-044</t>
        </is>
      </c>
      <c r="B45" s="12" t="inlineStr">
        <is>
          <t>Lifecycle: Submit</t>
        </is>
      </c>
      <c r="C45" s="12" t="inlineStr">
        <is>
          <t>Submit for Approval shows validation then submits (draft -&gt; submitted)</t>
        </is>
      </c>
      <c r="D45" s="13" t="inlineStr">
        <is>
          <t>High</t>
        </is>
      </c>
      <c r="E45" s="12" t="inlineStr">
        <is>
          <t>Functional</t>
        </is>
      </c>
      <c r="F45" s="12" t="inlineStr">
        <is>
          <t>Open a draft schedule with assignments.</t>
        </is>
      </c>
      <c r="G45" s="12" t="inlineStr">
        <is>
          <t>1. Click 'Submit for Approval'
2. Review validation warnings/messages in the dialog
3. Add an optional note
4. Click Submit</t>
        </is>
      </c>
      <c r="H45" s="12" t="inlineStr">
        <is>
          <t>Note 'Ready for Dr. review'</t>
        </is>
      </c>
      <c r="I45" s="12" t="inlineStr">
        <is>
          <t>Validation runs first; dialog lists warnings (or 'validation passed with no warnings'). On Submit the status changes to Submitted, header buttons switch to Approve/Send Back, and the board reloads.</t>
        </is>
      </c>
      <c r="J45" s="12" t="inlineStr">
        <is>
          <t>GET /schedules/{id}/validate then POST /schedules/{id}/submit {note}</t>
        </is>
      </c>
      <c r="K45" s="14" t="inlineStr"/>
      <c r="L45" s="15" t="inlineStr">
        <is>
          <t>Not Executed</t>
        </is>
      </c>
      <c r="M45" s="15" t="inlineStr"/>
      <c r="N45" s="15" t="inlineStr"/>
      <c r="O45" s="15" t="inlineStr"/>
      <c r="P45" s="14" t="inlineStr"/>
    </row>
    <row r="46" ht="60" customHeight="1">
      <c r="A46" s="11" t="inlineStr">
        <is>
          <t>SCH-045</t>
        </is>
      </c>
      <c r="B46" s="12" t="inlineStr">
        <is>
          <t>Lifecycle: Submit</t>
        </is>
      </c>
      <c r="C46" s="12" t="inlineStr">
        <is>
          <t>Submit validation warnings render with severity styling</t>
        </is>
      </c>
      <c r="D46" s="19" t="inlineStr">
        <is>
          <t>Medium</t>
        </is>
      </c>
      <c r="E46" s="12" t="inlineStr">
        <is>
          <t>Functional</t>
        </is>
      </c>
      <c r="F46" s="12" t="inlineStr">
        <is>
          <t>Draft with conditions that trigger warnings (e.g. low BSC coverage, empty days).</t>
        </is>
      </c>
      <c r="G46" s="12" t="inlineStr">
        <is>
          <t>1. Click Submit for Approval and read the dialog</t>
        </is>
      </c>
      <c r="H46" s="12" t="inlineStr">
        <is>
          <t>N/A</t>
        </is>
      </c>
      <c r="I46" s="12" t="inlineStr">
        <is>
          <t>Each warning/message shows with critical/warning/info icon and colour from the validate response; empty validation shows a green success Alert.</t>
        </is>
      </c>
      <c r="J46" s="12" t="inlineStr">
        <is>
          <t>GET /schedules/{id}/validate</t>
        </is>
      </c>
      <c r="K46" s="14" t="inlineStr"/>
      <c r="L46" s="15" t="inlineStr">
        <is>
          <t>Not Executed</t>
        </is>
      </c>
      <c r="M46" s="15" t="inlineStr"/>
      <c r="N46" s="15" t="inlineStr"/>
      <c r="O46" s="15" t="inlineStr"/>
      <c r="P46" s="14" t="inlineStr"/>
    </row>
    <row r="47" ht="60" customHeight="1">
      <c r="A47" s="11" t="inlineStr">
        <is>
          <t>SCH-046</t>
        </is>
      </c>
      <c r="B47" s="12" t="inlineStr">
        <is>
          <t>Lifecycle: Submit</t>
        </is>
      </c>
      <c r="C47" s="12" t="inlineStr">
        <is>
          <t>Submit failure surfaces backend error</t>
        </is>
      </c>
      <c r="D47" s="19" t="inlineStr">
        <is>
          <t>Medium</t>
        </is>
      </c>
      <c r="E47" s="12" t="inlineStr">
        <is>
          <t>Negative</t>
        </is>
      </c>
      <c r="F47" s="12" t="inlineStr">
        <is>
          <t>A schedule not in a submittable state (e.g. already submitted) or backend rejects.</t>
        </is>
      </c>
      <c r="G47" s="12" t="inlineStr">
        <is>
          <t>1. Trigger submit when backend returns 400</t>
        </is>
      </c>
      <c r="H47" s="12" t="inlineStr">
        <is>
          <t>N/A</t>
        </is>
      </c>
      <c r="I47" s="12" t="inlineStr">
        <is>
          <t>Error banner shows the backend error message (e.g. invalid transition); status unchanged.</t>
        </is>
      </c>
      <c r="J47" s="12" t="inlineStr">
        <is>
          <t>POST /schedules/{id}/submit -&gt; 400</t>
        </is>
      </c>
      <c r="K47" s="14" t="inlineStr"/>
      <c r="L47" s="15" t="inlineStr">
        <is>
          <t>Not Executed</t>
        </is>
      </c>
      <c r="M47" s="15" t="inlineStr"/>
      <c r="N47" s="15" t="inlineStr"/>
      <c r="O47" s="15" t="inlineStr"/>
      <c r="P47" s="14" t="inlineStr"/>
    </row>
    <row r="48" ht="75" customHeight="1">
      <c r="A48" s="16" t="inlineStr">
        <is>
          <t>SCH-047</t>
        </is>
      </c>
      <c r="B48" s="17" t="inlineStr">
        <is>
          <t>Lifecycle: Approve</t>
        </is>
      </c>
      <c r="C48" s="17" t="inlineStr">
        <is>
          <t>Approve a submitted schedule (submitted -&gt; approved/communicated) and notify</t>
        </is>
      </c>
      <c r="D48" s="21" t="inlineStr">
        <is>
          <t>High</t>
        </is>
      </c>
      <c r="E48" s="17" t="inlineStr">
        <is>
          <t>Functional</t>
        </is>
      </c>
      <c r="F48" s="17" t="inlineStr">
        <is>
          <t>Open a submitted schedule on the board.</t>
        </is>
      </c>
      <c r="G48" s="17" t="inlineStr">
        <is>
          <t>1. Click Approve
2. Add optional approval note
3. Confirm Approve</t>
        </is>
      </c>
      <c r="H48" s="17" t="inlineStr">
        <is>
          <t>Approval note 'Approved by lead'</t>
        </is>
      </c>
      <c r="I48" s="17" t="inlineStr">
        <is>
          <t>Status advances (approved/communicated); team and patient notifications are triggered server-side; board reloads showing the new status and acknowledgments become available.</t>
        </is>
      </c>
      <c r="J48" s="17" t="inlineStr">
        <is>
          <t>POST /schedules/{id}/approve {note} (triggers notify_team_on_approval + notify_patients_on_communication)</t>
        </is>
      </c>
      <c r="K48" s="14" t="inlineStr"/>
      <c r="L48" s="15" t="inlineStr">
        <is>
          <t>Not Executed</t>
        </is>
      </c>
      <c r="M48" s="15" t="inlineStr"/>
      <c r="N48" s="15" t="inlineStr"/>
      <c r="O48" s="15" t="inlineStr"/>
      <c r="P48" s="14" t="inlineStr"/>
    </row>
    <row r="49" ht="75" customHeight="1">
      <c r="A49" s="11" t="inlineStr">
        <is>
          <t>SCH-048</t>
        </is>
      </c>
      <c r="B49" s="12" t="inlineStr">
        <is>
          <t>Lifecycle: Send Back</t>
        </is>
      </c>
      <c r="C49" s="12" t="inlineStr">
        <is>
          <t>Send Back requires a reason and returns to draft</t>
        </is>
      </c>
      <c r="D49" s="13" t="inlineStr">
        <is>
          <t>High</t>
        </is>
      </c>
      <c r="E49" s="12" t="inlineStr">
        <is>
          <t>Validation</t>
        </is>
      </c>
      <c r="F49" s="12" t="inlineStr">
        <is>
          <t>Open a submitted schedule.</t>
        </is>
      </c>
      <c r="G49" s="12" t="inlineStr">
        <is>
          <t>1. Click Send Back
2. Leave reason empty and observe button
3. Enter a reason and confirm</t>
        </is>
      </c>
      <c r="H49" s="12" t="inlineStr">
        <is>
          <t>Reason 'Tuesday over capacity, rebalance'</t>
        </is>
      </c>
      <c r="I49" s="12" t="inlineStr">
        <is>
          <t>Send Back button is disabled while the reason is empty; with a reason the schedule returns to draft/sent_back and the board reloads. Backend returns 400 'Reason is required' if forced without reason.</t>
        </is>
      </c>
      <c r="J49" s="12" t="inlineStr">
        <is>
          <t>POST /schedules/{id}/send-back {reason}</t>
        </is>
      </c>
      <c r="K49" s="14" t="inlineStr"/>
      <c r="L49" s="15" t="inlineStr">
        <is>
          <t>Not Executed</t>
        </is>
      </c>
      <c r="M49" s="15" t="inlineStr"/>
      <c r="N49" s="15" t="inlineStr"/>
      <c r="O49" s="15" t="inlineStr"/>
      <c r="P49" s="14" t="inlineStr"/>
    </row>
    <row r="50" ht="45" customHeight="1">
      <c r="A50" s="16" t="inlineStr">
        <is>
          <t>SCH-049</t>
        </is>
      </c>
      <c r="B50" s="17" t="inlineStr">
        <is>
          <t>Lifecycle: Activate</t>
        </is>
      </c>
      <c r="C50" s="17" t="inlineStr">
        <is>
          <t>Activate a communicated schedule (communicated -&gt; in_progress)</t>
        </is>
      </c>
      <c r="D50" s="21" t="inlineStr">
        <is>
          <t>High</t>
        </is>
      </c>
      <c r="E50" s="17" t="inlineStr">
        <is>
          <t>Functional</t>
        </is>
      </c>
      <c r="F50" s="17" t="inlineStr">
        <is>
          <t>Open a communicated schedule.</t>
        </is>
      </c>
      <c r="G50" s="17" t="inlineStr">
        <is>
          <t>1. Click 'Activate Schedule'</t>
        </is>
      </c>
      <c r="H50" s="17" t="inlineStr">
        <is>
          <t>N/A</t>
        </is>
      </c>
      <c r="I50" s="17" t="inlineStr">
        <is>
          <t>Schedule becomes active/in_progress; the board reloads; an 'End Week &amp; Review' button now appears for in_progress.</t>
        </is>
      </c>
      <c r="J50" s="17" t="inlineStr">
        <is>
          <t>POST /schedules/{id}/activate</t>
        </is>
      </c>
      <c r="K50" s="14" t="inlineStr"/>
      <c r="L50" s="15" t="inlineStr">
        <is>
          <t>Not Executed</t>
        </is>
      </c>
      <c r="M50" s="15" t="inlineStr"/>
      <c r="N50" s="15" t="inlineStr"/>
      <c r="O50" s="15" t="inlineStr"/>
      <c r="P50" s="14" t="inlineStr"/>
    </row>
    <row r="51" ht="45" customHeight="1">
      <c r="A51" s="11" t="inlineStr">
        <is>
          <t>SCH-050</t>
        </is>
      </c>
      <c r="B51" s="12" t="inlineStr">
        <is>
          <t>Lifecycle: Review</t>
        </is>
      </c>
      <c r="C51" s="12" t="inlineStr">
        <is>
          <t>End Week &amp; Review transitions in_progress -&gt; review_ready and navigates</t>
        </is>
      </c>
      <c r="D51" s="13" t="inlineStr">
        <is>
          <t>High</t>
        </is>
      </c>
      <c r="E51" s="12" t="inlineStr">
        <is>
          <t>Functional</t>
        </is>
      </c>
      <c r="F51" s="12" t="inlineStr">
        <is>
          <t>Open an in_progress schedule.</t>
        </is>
      </c>
      <c r="G51" s="12" t="inlineStr">
        <is>
          <t>1. Click 'End Week &amp; Review'</t>
        </is>
      </c>
      <c r="H51" s="12" t="inlineStr">
        <is>
          <t>N/A</t>
        </is>
      </c>
      <c r="I51" s="12" t="inlineStr">
        <is>
          <t>Status transitions to review_ready and the app navigates to /saranam/scheduling/review-dashboard/:scheduleId.</t>
        </is>
      </c>
      <c r="J51" s="12" t="inlineStr">
        <is>
          <t>POST /schedules/{id}/review-ready</t>
        </is>
      </c>
      <c r="K51" s="14" t="inlineStr"/>
      <c r="L51" s="15" t="inlineStr">
        <is>
          <t>Not Executed</t>
        </is>
      </c>
      <c r="M51" s="15" t="inlineStr"/>
      <c r="N51" s="15" t="inlineStr"/>
      <c r="O51" s="15" t="inlineStr"/>
      <c r="P51" s="14" t="inlineStr"/>
    </row>
    <row r="52" ht="90" customHeight="1">
      <c r="A52" s="16" t="inlineStr">
        <is>
          <t>SCH-051</t>
        </is>
      </c>
      <c r="B52" s="17" t="inlineStr">
        <is>
          <t>Lifecycle: Disallowed transitions</t>
        </is>
      </c>
      <c r="C52" s="17" t="inlineStr">
        <is>
          <t>Disallowed lifecycle transitions are blocked</t>
        </is>
      </c>
      <c r="D52" s="21" t="inlineStr">
        <is>
          <t>High</t>
        </is>
      </c>
      <c r="E52" s="17" t="inlineStr">
        <is>
          <t>Negative</t>
        </is>
      </c>
      <c r="F52" s="17" t="inlineStr">
        <is>
          <t>Schedules in various statuses.</t>
        </is>
      </c>
      <c r="G52" s="17" t="inlineStr">
        <is>
          <t>1. Attempt to approve a draft (force POST /approve)
2. Attempt to activate a draft
3. Attempt to submit an already-submitted schedule</t>
        </is>
      </c>
      <c r="H52" s="17" t="inlineStr">
        <is>
          <t>N/A</t>
        </is>
      </c>
      <c r="I52" s="17" t="inlineStr">
        <is>
          <t>Each invalid transition returns 400 with an error message; status is unchanged. In the UI the corresponding buttons are not even shown for the wrong status (e.g. Approve only for submitted, Activate only for communicated).</t>
        </is>
      </c>
      <c r="J52" s="17" t="inlineStr">
        <is>
          <t>POST /schedules/{id}/approve|activate|submit -&gt; 400</t>
        </is>
      </c>
      <c r="K52" s="14" t="inlineStr"/>
      <c r="L52" s="15" t="inlineStr">
        <is>
          <t>Not Executed</t>
        </is>
      </c>
      <c r="M52" s="15" t="inlineStr"/>
      <c r="N52" s="15" t="inlineStr"/>
      <c r="O52" s="15" t="inlineStr"/>
      <c r="P52" s="14" t="inlineStr"/>
    </row>
    <row r="53" ht="75" customHeight="1">
      <c r="A53" s="11" t="inlineStr">
        <is>
          <t>SCH-052</t>
        </is>
      </c>
      <c r="B53" s="12" t="inlineStr">
        <is>
          <t>Lifecycle: Status-gated controls</t>
        </is>
      </c>
      <c r="C53" s="12" t="inlineStr">
        <is>
          <t>Header controls match schedule status</t>
        </is>
      </c>
      <c r="D53" s="19" t="inlineStr">
        <is>
          <t>Medium</t>
        </is>
      </c>
      <c r="E53" s="12" t="inlineStr">
        <is>
          <t>UI/UX</t>
        </is>
      </c>
      <c r="F53" s="12" t="inlineStr">
        <is>
          <t>Schedules in draft, submitted, communicated, in_progress.</t>
        </is>
      </c>
      <c r="G53" s="12" t="inlineStr">
        <is>
          <t>1. Open each status on the board and note the action buttons</t>
        </is>
      </c>
      <c r="H53" s="12" t="inlineStr">
        <is>
          <t>N/A</t>
        </is>
      </c>
      <c r="I53" s="12" t="inlineStr">
        <is>
          <t>Draft: Add Patient + Submit for Approval. Submitted: Approve + Send Back. Communicated: Activate Schedule. In_progress: End Week &amp; Review. Sidebar pool/DND only for draft &amp; sent_back.</t>
        </is>
      </c>
      <c r="J53" s="12" t="inlineStr">
        <is>
          <t>N/A</t>
        </is>
      </c>
      <c r="K53" s="14" t="inlineStr"/>
      <c r="L53" s="15" t="inlineStr">
        <is>
          <t>Not Executed</t>
        </is>
      </c>
      <c r="M53" s="15" t="inlineStr"/>
      <c r="N53" s="15" t="inlineStr"/>
      <c r="O53" s="15" t="inlineStr"/>
      <c r="P53" s="14" t="inlineStr"/>
    </row>
    <row r="54" ht="90" customHeight="1">
      <c r="A54" s="16" t="inlineStr">
        <is>
          <t>SCH-053</t>
        </is>
      </c>
      <c r="B54" s="17" t="inlineStr">
        <is>
          <t>Schedule Settings</t>
        </is>
      </c>
      <c r="C54" s="17" t="inlineStr">
        <is>
          <t>Settings page loads config, vehicles (and cluster section)</t>
        </is>
      </c>
      <c r="D54" s="21" t="inlineStr">
        <is>
          <t>High</t>
        </is>
      </c>
      <c r="E54" s="17" t="inlineStr">
        <is>
          <t>Functional</t>
        </is>
      </c>
      <c r="F54" s="17" t="inlineStr">
        <is>
          <t>Logged in.</t>
        </is>
      </c>
      <c r="G54" s="17" t="inlineStr">
        <is>
          <t>1. Navigate to /saranam/scheduling/settings</t>
        </is>
      </c>
      <c r="H54" s="17" t="inlineStr">
        <is>
          <t>N/A</t>
        </is>
      </c>
      <c r="I54" s="17" t="inlineStr">
        <is>
          <t>Config loads into Visit Days checkboxes and Planning &amp; Approval fields; Vehicles list renders with base hospital chips. Save Settings button present. (Capacity/Threshold/Cluster panels are commented out in current build - confirm not visible.)</t>
        </is>
      </c>
      <c r="J54" s="17" t="inlineStr">
        <is>
          <t>GET /config; GET /clusters; GET /vehicles</t>
        </is>
      </c>
      <c r="K54" s="14" t="inlineStr"/>
      <c r="L54" s="15" t="inlineStr">
        <is>
          <t>Not Executed</t>
        </is>
      </c>
      <c r="M54" s="15" t="inlineStr"/>
      <c r="N54" s="15" t="inlineStr"/>
      <c r="O54" s="15" t="inlineStr"/>
      <c r="P54" s="14" t="inlineStr"/>
    </row>
    <row r="55" ht="60" customHeight="1">
      <c r="A55" s="16" t="inlineStr">
        <is>
          <t>SCH-054</t>
        </is>
      </c>
      <c r="B55" s="17" t="inlineStr">
        <is>
          <t>Schedule Settings</t>
        </is>
      </c>
      <c r="C55" s="17" t="inlineStr">
        <is>
          <t>Save scheduling config (visit days + deadlines)</t>
        </is>
      </c>
      <c r="D55" s="21" t="inlineStr">
        <is>
          <t>High</t>
        </is>
      </c>
      <c r="E55" s="17" t="inlineStr">
        <is>
          <t>Functional</t>
        </is>
      </c>
      <c r="F55" s="17" t="inlineStr">
        <is>
          <t>Settings loaded.</t>
        </is>
      </c>
      <c r="G55" s="17" t="inlineStr">
        <is>
          <t>1. Toggle visit-day checkboxes
2. Set Planning Day, Planning Deadline Time, Approval Deadline Day &amp; Time
3. Click Save Settings</t>
        </is>
      </c>
      <c r="H55" s="17" t="inlineStr">
        <is>
          <t>Visit days Mon-Fri; Planning Day Thursday 17:00; Approval Sunday 12:00</t>
        </is>
      </c>
      <c r="I55" s="17" t="inlineStr">
        <is>
          <t>A green 'Settings saved successfully.' Alert shows (auto-dismiss ~3s); reloading the page retains the saved values.</t>
        </is>
      </c>
      <c r="J55" s="17" t="inlineStr">
        <is>
          <t>PUT /api/saranam/scheduling/config</t>
        </is>
      </c>
      <c r="K55" s="14" t="inlineStr"/>
      <c r="L55" s="15" t="inlineStr">
        <is>
          <t>Not Executed</t>
        </is>
      </c>
      <c r="M55" s="15" t="inlineStr"/>
      <c r="N55" s="15" t="inlineStr"/>
      <c r="O55" s="15" t="inlineStr"/>
      <c r="P55" s="14" t="inlineStr"/>
    </row>
    <row r="56" ht="60" customHeight="1">
      <c r="A56" s="16" t="inlineStr">
        <is>
          <t>SCH-055</t>
        </is>
      </c>
      <c r="B56" s="17" t="inlineStr">
        <is>
          <t>Schedule Settings</t>
        </is>
      </c>
      <c r="C56" s="17" t="inlineStr">
        <is>
          <t>Add a vehicle (name required) with base hospital</t>
        </is>
      </c>
      <c r="D56" s="21" t="inlineStr">
        <is>
          <t>High</t>
        </is>
      </c>
      <c r="E56" s="17" t="inlineStr">
        <is>
          <t>Functional</t>
        </is>
      </c>
      <c r="F56" s="17" t="inlineStr">
        <is>
          <t>Settings loaded.</t>
        </is>
      </c>
      <c r="G56" s="17" t="inlineStr">
        <is>
          <t>1. Click Add Vehicle
2. Enter name + registration, choose Base Hospital
3. Click Create</t>
        </is>
      </c>
      <c r="H56" s="17" t="inlineStr">
        <is>
          <t>Name 'Saranam Van 2', reg KA-05-CD-6789, base KCGH</t>
        </is>
      </c>
      <c r="I56" s="17" t="inlineStr">
        <is>
          <t>Vehicle is created and appears in the list with a 'Base: KCGH' chip. Create button is disabled when name is empty; backend returns 400 if name missing.</t>
        </is>
      </c>
      <c r="J56" s="17" t="inlineStr">
        <is>
          <t>POST /api/saranam/scheduling/vehicles</t>
        </is>
      </c>
      <c r="K56" s="14" t="inlineStr"/>
      <c r="L56" s="15" t="inlineStr">
        <is>
          <t>Not Executed</t>
        </is>
      </c>
      <c r="M56" s="15" t="inlineStr"/>
      <c r="N56" s="15" t="inlineStr"/>
      <c r="O56" s="15" t="inlineStr"/>
      <c r="P56" s="14" t="inlineStr"/>
    </row>
    <row r="57" ht="45" customHeight="1">
      <c r="A57" s="16" t="inlineStr">
        <is>
          <t>SCH-056</t>
        </is>
      </c>
      <c r="B57" s="17" t="inlineStr">
        <is>
          <t>Schedule Settings</t>
        </is>
      </c>
      <c r="C57" s="17" t="inlineStr">
        <is>
          <t>Edit an existing vehicle</t>
        </is>
      </c>
      <c r="D57" s="18" t="inlineStr">
        <is>
          <t>Medium</t>
        </is>
      </c>
      <c r="E57" s="17" t="inlineStr">
        <is>
          <t>Functional</t>
        </is>
      </c>
      <c r="F57" s="17" t="inlineStr">
        <is>
          <t>At least one vehicle exists.</t>
        </is>
      </c>
      <c r="G57" s="17" t="inlineStr">
        <is>
          <t>1. Click the pencil on a vehicle row
2. Change name/reg/base hospital
3. Click Update</t>
        </is>
      </c>
      <c r="H57" s="17" t="inlineStr">
        <is>
          <t>Change base to KMIO</t>
        </is>
      </c>
      <c r="I57" s="17" t="inlineStr">
        <is>
          <t>Vehicle updates and the row reflects the new values. 404 returned if the id no longer exists.</t>
        </is>
      </c>
      <c r="J57" s="17" t="inlineStr">
        <is>
          <t>PUT /api/saranam/scheduling/vehicles/{id}</t>
        </is>
      </c>
      <c r="K57" s="14" t="inlineStr"/>
      <c r="L57" s="15" t="inlineStr">
        <is>
          <t>Not Executed</t>
        </is>
      </c>
      <c r="M57" s="15" t="inlineStr"/>
      <c r="N57" s="15" t="inlineStr"/>
      <c r="O57" s="15" t="inlineStr"/>
      <c r="P57" s="14" t="inlineStr"/>
    </row>
    <row r="58" ht="75" customHeight="1">
      <c r="A58" s="16" t="inlineStr">
        <is>
          <t>SCH-057</t>
        </is>
      </c>
      <c r="B58" s="17" t="inlineStr">
        <is>
          <t>Schedule Settings</t>
        </is>
      </c>
      <c r="C58" s="17" t="inlineStr">
        <is>
          <t>Inline Add Hospital from vehicle dialog</t>
        </is>
      </c>
      <c r="D58" s="18" t="inlineStr">
        <is>
          <t>Medium</t>
        </is>
      </c>
      <c r="E58" s="17" t="inlineStr">
        <is>
          <t>Functional</t>
        </is>
      </c>
      <c r="F58" s="17" t="inlineStr">
        <is>
          <t>Vehicle dialog open.</t>
        </is>
      </c>
      <c r="G58" s="17" t="inlineStr">
        <is>
          <t>1. Click the + next to Base Hospital
2. Enter Code 'MSR' (homecare prefix auto KAGBAMSR) and Name
3. Click Add</t>
        </is>
      </c>
      <c r="H58" s="17" t="inlineStr">
        <is>
          <t>Code MSR, Name 'M.S. Ramaiah Memorial'</t>
        </is>
      </c>
      <c r="I58" s="17" t="inlineStr">
        <is>
          <t>New hospital is added to the master list and selected as the vehicle's base; homecare prefix auto-derives as KAGBA+code unless edited. Add disabled until code+name present.</t>
        </is>
      </c>
      <c r="J58" s="17" t="inlineStr">
        <is>
          <t>useHospitalOptions add (hospital master API)</t>
        </is>
      </c>
      <c r="K58" s="14" t="inlineStr"/>
      <c r="L58" s="15" t="inlineStr">
        <is>
          <t>Not Executed</t>
        </is>
      </c>
      <c r="M58" s="15" t="inlineStr"/>
      <c r="N58" s="15" t="inlineStr"/>
      <c r="O58" s="15" t="inlineStr"/>
      <c r="P58" s="14" t="inlineStr"/>
    </row>
    <row r="59" ht="60" customHeight="1">
      <c r="A59" s="16" t="inlineStr">
        <is>
          <t>SCH-058</t>
        </is>
      </c>
      <c r="B59" s="17" t="inlineStr">
        <is>
          <t>Schedule Settings</t>
        </is>
      </c>
      <c r="C59" s="17" t="inlineStr">
        <is>
          <t>Cluster create/edit/delete (if cluster panel enabled)</t>
        </is>
      </c>
      <c r="D59" s="22" t="inlineStr">
        <is>
          <t>Low</t>
        </is>
      </c>
      <c r="E59" s="17" t="inlineStr">
        <is>
          <t>Functional</t>
        </is>
      </c>
      <c r="F59" s="17" t="inlineStr">
        <is>
          <t>Cluster panel visible (currently commented out - verify build).</t>
        </is>
      </c>
      <c r="G59" s="17" t="inlineStr">
        <is>
          <t>1. If visible: Add Cluster with name/color/pin codes, then edit, then delete (confirm dialog)</t>
        </is>
      </c>
      <c r="H59" s="17" t="inlineStr">
        <is>
          <t>Name 'North', color #3b82f6, pins 560001,560002</t>
        </is>
      </c>
      <c r="I59" s="17" t="inlineStr">
        <is>
          <t>Cluster CRUD works: create -&gt; list; edit -&gt; updated; delete (confirm) -&gt; removed. Create disabled when name empty. If the panel is not rendered in this build, mark N/A.</t>
        </is>
      </c>
      <c r="J59" s="17" t="inlineStr">
        <is>
          <t>POST/PUT/DELETE /api/saranam/scheduling/clusters</t>
        </is>
      </c>
      <c r="K59" s="14" t="inlineStr"/>
      <c r="L59" s="15" t="inlineStr">
        <is>
          <t>Not Executed</t>
        </is>
      </c>
      <c r="M59" s="15" t="inlineStr"/>
      <c r="N59" s="15" t="inlineStr"/>
      <c r="O59" s="15" t="inlineStr"/>
      <c r="P59" s="14" t="inlineStr"/>
    </row>
    <row r="60" ht="30" customHeight="1">
      <c r="A60" s="16" t="inlineStr">
        <is>
          <t>SCH-059</t>
        </is>
      </c>
      <c r="B60" s="17" t="inlineStr">
        <is>
          <t>Schedule Settings</t>
        </is>
      </c>
      <c r="C60" s="17" t="inlineStr">
        <is>
          <t>Settings load failure shows error</t>
        </is>
      </c>
      <c r="D60" s="22" t="inlineStr">
        <is>
          <t>Low</t>
        </is>
      </c>
      <c r="E60" s="17" t="inlineStr">
        <is>
          <t>Negative</t>
        </is>
      </c>
      <c r="F60" s="17" t="inlineStr">
        <is>
          <t>Simulate config/vehicles API failure.</t>
        </is>
      </c>
      <c r="G60" s="17" t="inlineStr">
        <is>
          <t>1. Open settings with the API failing</t>
        </is>
      </c>
      <c r="H60" s="17" t="inlineStr">
        <is>
          <t>N/A</t>
        </is>
      </c>
      <c r="I60" s="17" t="inlineStr">
        <is>
          <t>A red Alert 'Failed to load settings. &lt;reason&gt;' is shown; the page does not crash.</t>
        </is>
      </c>
      <c r="J60" s="17" t="inlineStr">
        <is>
          <t>GET /config|/clusters|/vehicles</t>
        </is>
      </c>
      <c r="K60" s="14" t="inlineStr"/>
      <c r="L60" s="15" t="inlineStr">
        <is>
          <t>Not Executed</t>
        </is>
      </c>
      <c r="M60" s="15" t="inlineStr"/>
      <c r="N60" s="15" t="inlineStr"/>
      <c r="O60" s="15" t="inlineStr"/>
      <c r="P60" s="14" t="inlineStr"/>
    </row>
    <row r="61" ht="75" customHeight="1">
      <c r="A61" s="11" t="inlineStr">
        <is>
          <t>SCH-060</t>
        </is>
      </c>
      <c r="B61" s="12" t="inlineStr">
        <is>
          <t>Active Schedule Visits</t>
        </is>
      </c>
      <c r="C61" s="12" t="inlineStr">
        <is>
          <t>Active Visits auto-selects the active/in_progress schedule</t>
        </is>
      </c>
      <c r="D61" s="13" t="inlineStr">
        <is>
          <t>High</t>
        </is>
      </c>
      <c r="E61" s="12" t="inlineStr">
        <is>
          <t>Functional</t>
        </is>
      </c>
      <c r="F61" s="12" t="inlineStr">
        <is>
          <t>An active/in_progress schedule exists (else approved).</t>
        </is>
      </c>
      <c r="G61" s="12" t="inlineStr">
        <is>
          <t>1. Navigate to /saranam/scheduling/active-visits</t>
        </is>
      </c>
      <c r="H61" s="12" t="inlineStr">
        <is>
          <t>N/A</t>
        </is>
      </c>
      <c r="I61" s="12" t="inlineStr">
        <is>
          <t>The first active/in_progress schedule (or approved fallback) loads, showing header with week/vehicle/status, total patients and visit days, day tabs, the day's patient list and a route map.</t>
        </is>
      </c>
      <c r="J61" s="12" t="inlineStr">
        <is>
          <t>GET /schedules?per_page=100 then GET /schedules/{id} + GET /schedules/{id}/deviations</t>
        </is>
      </c>
      <c r="K61" s="14" t="inlineStr"/>
      <c r="L61" s="15" t="inlineStr">
        <is>
          <t>Not Executed</t>
        </is>
      </c>
      <c r="M61" s="15" t="inlineStr"/>
      <c r="N61" s="15" t="inlineStr"/>
      <c r="O61" s="15" t="inlineStr"/>
      <c r="P61" s="14" t="inlineStr"/>
    </row>
    <row r="62" ht="45" customHeight="1">
      <c r="A62" s="11" t="inlineStr">
        <is>
          <t>SCH-061</t>
        </is>
      </c>
      <c r="B62" s="12" t="inlineStr">
        <is>
          <t>Active Schedule Visits</t>
        </is>
      </c>
      <c r="C62" s="12" t="inlineStr">
        <is>
          <t>No active schedule empty state</t>
        </is>
      </c>
      <c r="D62" s="19" t="inlineStr">
        <is>
          <t>Medium</t>
        </is>
      </c>
      <c r="E62" s="12" t="inlineStr">
        <is>
          <t>UI/UX</t>
        </is>
      </c>
      <c r="F62" s="12" t="inlineStr">
        <is>
          <t>No active/in_progress/approved schedules.</t>
        </is>
      </c>
      <c r="G62" s="12" t="inlineStr">
        <is>
          <t>1. Open /saranam/scheduling/active-visits</t>
        </is>
      </c>
      <c r="H62" s="12" t="inlineStr">
        <is>
          <t>N/A</t>
        </is>
      </c>
      <c r="I62" s="12" t="inlineStr">
        <is>
          <t>Empty state 'No Active Schedule' with explanation and a 'Go to Calendar' button is shown.</t>
        </is>
      </c>
      <c r="J62" s="12" t="inlineStr">
        <is>
          <t>GET /schedules</t>
        </is>
      </c>
      <c r="K62" s="14" t="inlineStr"/>
      <c r="L62" s="15" t="inlineStr">
        <is>
          <t>Not Executed</t>
        </is>
      </c>
      <c r="M62" s="15" t="inlineStr"/>
      <c r="N62" s="15" t="inlineStr"/>
      <c r="O62" s="15" t="inlineStr"/>
      <c r="P62" s="14" t="inlineStr"/>
    </row>
    <row r="63" ht="45" customHeight="1">
      <c r="A63" s="11" t="inlineStr">
        <is>
          <t>SCH-062</t>
        </is>
      </c>
      <c r="B63" s="12" t="inlineStr">
        <is>
          <t>Active Schedule Visits</t>
        </is>
      </c>
      <c r="C63" s="12" t="inlineStr">
        <is>
          <t>Day tabs switch the listed patients and route</t>
        </is>
      </c>
      <c r="D63" s="19" t="inlineStr">
        <is>
          <t>Medium</t>
        </is>
      </c>
      <c r="E63" s="12" t="inlineStr">
        <is>
          <t>Functional</t>
        </is>
      </c>
      <c r="F63" s="12" t="inlineStr">
        <is>
          <t>Active schedule with multiple days having patients.</t>
        </is>
      </c>
      <c r="G63" s="12" t="inlineStr">
        <is>
          <t>1. Click different day tabs; use the map prev/next arrows</t>
        </is>
      </c>
      <c r="H63" s="12" t="inlineStr">
        <is>
          <t>N/A</t>
        </is>
      </c>
      <c r="I63" s="12" t="inlineStr">
        <is>
          <t>Patient list and route map update to the selected day; days with patients show a count; route total km and segments recompute.</t>
        </is>
      </c>
      <c r="J63" s="12" t="inlineStr">
        <is>
          <t>N/A</t>
        </is>
      </c>
      <c r="K63" s="14" t="inlineStr"/>
      <c r="L63" s="15" t="inlineStr">
        <is>
          <t>Not Executed</t>
        </is>
      </c>
      <c r="M63" s="15" t="inlineStr"/>
      <c r="N63" s="15" t="inlineStr"/>
      <c r="O63" s="15" t="inlineStr"/>
      <c r="P63" s="14" t="inlineStr"/>
    </row>
    <row r="64" ht="45" customHeight="1">
      <c r="A64" s="11" t="inlineStr">
        <is>
          <t>SCH-063</t>
        </is>
      </c>
      <c r="B64" s="12" t="inlineStr">
        <is>
          <t>Active Schedule Visits</t>
        </is>
      </c>
      <c r="C64" s="12" t="inlineStr">
        <is>
          <t>Complete a visit updates slot status</t>
        </is>
      </c>
      <c r="D64" s="13" t="inlineStr">
        <is>
          <t>High</t>
        </is>
      </c>
      <c r="E64" s="12" t="inlineStr">
        <is>
          <t>Functional</t>
        </is>
      </c>
      <c r="F64" s="12" t="inlineStr">
        <is>
          <t>Active schedule with a scheduled/in_progress slot.</t>
        </is>
      </c>
      <c r="G64" s="12" t="inlineStr">
        <is>
          <t>1. On a slot click 'Complete'</t>
        </is>
      </c>
      <c r="H64" s="12" t="inlineStr">
        <is>
          <t>N/A</t>
        </is>
      </c>
      <c r="I64" s="12" t="inlineStr">
        <is>
          <t>Slot status becomes completed (green 'Visit completed' line with time if available); schedule reloads.</t>
        </is>
      </c>
      <c r="J64" s="12" t="inlineStr">
        <is>
          <t>PUT /api/saranam/scheduling/slots/{slotId} {status:'completed'}</t>
        </is>
      </c>
      <c r="K64" s="14" t="inlineStr"/>
      <c r="L64" s="15" t="inlineStr">
        <is>
          <t>Not Executed</t>
        </is>
      </c>
      <c r="M64" s="15" t="inlineStr"/>
      <c r="N64" s="15" t="inlineStr"/>
      <c r="O64" s="15" t="inlineStr"/>
      <c r="P64" s="14" t="inlineStr"/>
    </row>
    <row r="65" ht="60" customHeight="1">
      <c r="A65" s="11" t="inlineStr">
        <is>
          <t>SCH-064</t>
        </is>
      </c>
      <c r="B65" s="12" t="inlineStr">
        <is>
          <t>Active Schedule Visits</t>
        </is>
      </c>
      <c r="C65" s="12" t="inlineStr">
        <is>
          <t>Mark a visit missed with reason + notes</t>
        </is>
      </c>
      <c r="D65" s="13" t="inlineStr">
        <is>
          <t>High</t>
        </is>
      </c>
      <c r="E65" s="12" t="inlineStr">
        <is>
          <t>Functional</t>
        </is>
      </c>
      <c r="F65" s="12" t="inlineStr">
        <is>
          <t>Active schedule slot.</t>
        </is>
      </c>
      <c r="G65" s="12" t="inlineStr">
        <is>
          <t>1. Click 'Missed'
2. Pick a reason (e.g. 'Patient not home'), add notes
3. Confirm Missed</t>
        </is>
      </c>
      <c r="H65" s="12" t="inlineStr">
        <is>
          <t>Reason 'Patient not home', notes 'Door locked'</t>
        </is>
      </c>
      <c r="I65" s="12" t="inlineStr">
        <is>
          <t>Confirm disabled until a reason is chosen; slot becomes missed showing the combined reason; schedule reloads.</t>
        </is>
      </c>
      <c r="J65" s="12" t="inlineStr">
        <is>
          <t>PUT /slots/{slotId} {status:'missed', missed_reason}</t>
        </is>
      </c>
      <c r="K65" s="14" t="inlineStr"/>
      <c r="L65" s="15" t="inlineStr">
        <is>
          <t>Not Executed</t>
        </is>
      </c>
      <c r="M65" s="15" t="inlineStr"/>
      <c r="N65" s="15" t="inlineStr"/>
      <c r="O65" s="15" t="inlineStr"/>
      <c r="P65" s="14" t="inlineStr"/>
    </row>
    <row r="66" ht="45" customHeight="1">
      <c r="A66" s="11" t="inlineStr">
        <is>
          <t>SCH-065</t>
        </is>
      </c>
      <c r="B66" s="12" t="inlineStr">
        <is>
          <t>Active Schedule Visits</t>
        </is>
      </c>
      <c r="C66" s="12" t="inlineStr">
        <is>
          <t>Cancel a visit with reason</t>
        </is>
      </c>
      <c r="D66" s="19" t="inlineStr">
        <is>
          <t>Medium</t>
        </is>
      </c>
      <c r="E66" s="12" t="inlineStr">
        <is>
          <t>Functional</t>
        </is>
      </c>
      <c r="F66" s="12" t="inlineStr">
        <is>
          <t>Active schedule slot.</t>
        </is>
      </c>
      <c r="G66" s="12" t="inlineStr">
        <is>
          <t>1. Click 'Cancel', enter a cancellation reason, Confirm Cancel</t>
        </is>
      </c>
      <c r="H66" s="12" t="inlineStr">
        <is>
          <t>Reason 'Patient admitted to IPD'</t>
        </is>
      </c>
      <c r="I66" s="12" t="inlineStr">
        <is>
          <t>Confirm disabled until reason entered; slot becomes cancelled showing the reason; schedule reloads.</t>
        </is>
      </c>
      <c r="J66" s="12" t="inlineStr">
        <is>
          <t>PUT /slots/{slotId} {status:'cancelled', cancelled_reason}</t>
        </is>
      </c>
      <c r="K66" s="14" t="inlineStr"/>
      <c r="L66" s="15" t="inlineStr">
        <is>
          <t>Not Executed</t>
        </is>
      </c>
      <c r="M66" s="15" t="inlineStr"/>
      <c r="N66" s="15" t="inlineStr"/>
      <c r="O66" s="15" t="inlineStr"/>
      <c r="P66" s="14" t="inlineStr"/>
    </row>
    <row r="67" ht="60" customHeight="1">
      <c r="A67" s="11" t="inlineStr">
        <is>
          <t>SCH-066</t>
        </is>
      </c>
      <c r="B67" s="12" t="inlineStr">
        <is>
          <t>Active Schedule Visits</t>
        </is>
      </c>
      <c r="C67" s="12" t="inlineStr">
        <is>
          <t>Report Deviation (non-emergency) from a day</t>
        </is>
      </c>
      <c r="D67" s="13" t="inlineStr">
        <is>
          <t>High</t>
        </is>
      </c>
      <c r="E67" s="12" t="inlineStr">
        <is>
          <t>Functional</t>
        </is>
      </c>
      <c r="F67" s="12" t="inlineStr">
        <is>
          <t>Active schedule day selected.</t>
        </is>
      </c>
      <c r="G67" s="12" t="inlineStr">
        <is>
          <t>1. Click 'Report Deviation'
2. Select type 'Route Order Changed', describe it, add time impact
3. Submit Deviation</t>
        </is>
      </c>
      <c r="H67" s="12" t="inlineStr">
        <is>
          <t>Type route_change, desc 'Reversed afternoon route due to traffic'</t>
        </is>
      </c>
      <c r="I67" s="12" t="inlineStr">
        <is>
          <t>Submit disabled until type+description set; deviation is created and appears under 'Deviations Reported' for that day after reload.</t>
        </is>
      </c>
      <c r="J67" s="12" t="inlineStr">
        <is>
          <t>POST /api/saranam/scheduling/days/{dayId}/deviations {deviation_type, description, time_impact}</t>
        </is>
      </c>
      <c r="K67" s="14" t="inlineStr"/>
      <c r="L67" s="15" t="inlineStr">
        <is>
          <t>Not Executed</t>
        </is>
      </c>
      <c r="M67" s="15" t="inlineStr"/>
      <c r="N67" s="15" t="inlineStr"/>
      <c r="O67" s="15" t="inlineStr"/>
      <c r="P67" s="14" t="inlineStr"/>
    </row>
    <row r="68" ht="75" customHeight="1">
      <c r="A68" s="11" t="inlineStr">
        <is>
          <t>SCH-067</t>
        </is>
      </c>
      <c r="B68" s="12" t="inlineStr">
        <is>
          <t>Active Schedule Visits</t>
        </is>
      </c>
      <c r="C68" s="12" t="inlineStr">
        <is>
          <t>Report Deviation (emergency patient) captures emergency fields</t>
        </is>
      </c>
      <c r="D68" s="19" t="inlineStr">
        <is>
          <t>Medium</t>
        </is>
      </c>
      <c r="E68" s="12" t="inlineStr">
        <is>
          <t>Functional</t>
        </is>
      </c>
      <c r="F68" s="12" t="inlineStr">
        <is>
          <t>Active schedule day selected.</t>
        </is>
      </c>
      <c r="G68" s="12" t="inlineStr">
        <is>
          <t>1. Open Report Deviation, choose 'Emergency Patient Visited'
2. Fill emergency name/location/reason + description
3. Submit</t>
        </is>
      </c>
      <c r="H68" s="12" t="inlineStr">
        <is>
          <t>Emergency 'Ramesh K', location 'Indiranagar', reason 'Breathlessness'</t>
        </is>
      </c>
      <c r="I68" s="12" t="inlineStr">
        <is>
          <t>Emergency-specific fields appear when type=emergency_patient; deviation persists with emergency name/location and is displayed in the day's deviation list.</t>
        </is>
      </c>
      <c r="J68" s="12" t="inlineStr">
        <is>
          <t>POST /days/{dayId}/deviations {deviation_type:'emergency_patient', emergency_patient_name, emergency_patient_location, emergency_reason}</t>
        </is>
      </c>
      <c r="K68" s="14" t="inlineStr"/>
      <c r="L68" s="15" t="inlineStr">
        <is>
          <t>Not Executed</t>
        </is>
      </c>
      <c r="M68" s="15" t="inlineStr"/>
      <c r="N68" s="15" t="inlineStr"/>
      <c r="O68" s="15" t="inlineStr"/>
      <c r="P68" s="14" t="inlineStr"/>
    </row>
    <row r="69" ht="60" customHeight="1">
      <c r="A69" s="11" t="inlineStr">
        <is>
          <t>SCH-068</t>
        </is>
      </c>
      <c r="B69" s="12" t="inlineStr">
        <is>
          <t>Active Schedule Visits</t>
        </is>
      </c>
      <c r="C69" s="12" t="inlineStr">
        <is>
          <t>Team and route segments panels render</t>
        </is>
      </c>
      <c r="D69" s="20" t="inlineStr">
        <is>
          <t>Low</t>
        </is>
      </c>
      <c r="E69" s="12" t="inlineStr">
        <is>
          <t>Functional</t>
        </is>
      </c>
      <c r="F69" s="12" t="inlineStr">
        <is>
          <t>Active schedule day with team assignments and GPS patients.</t>
        </is>
      </c>
      <c r="G69" s="12" t="inlineStr">
        <is>
          <t>1. Select a day with a team and routed patients</t>
        </is>
      </c>
      <c r="H69" s="12" t="inlineStr">
        <is>
          <t>N/A</t>
        </is>
      </c>
      <c r="I69" s="12" t="inlineStr">
        <is>
          <t>A 'Team for &lt;day&gt;' panel lists roles + provider names; a 'Route Segments' panel lists from-&gt;to legs with km and a total; numbered markers/route render on the map.</t>
        </is>
      </c>
      <c r="J69" s="12" t="inlineStr">
        <is>
          <t>N/A (from /schedules/{id})</t>
        </is>
      </c>
      <c r="K69" s="14" t="inlineStr"/>
      <c r="L69" s="15" t="inlineStr">
        <is>
          <t>Not Executed</t>
        </is>
      </c>
      <c r="M69" s="15" t="inlineStr"/>
      <c r="N69" s="15" t="inlineStr"/>
      <c r="O69" s="15" t="inlineStr"/>
      <c r="P69" s="14" t="inlineStr"/>
    </row>
    <row r="70" ht="75" customHeight="1">
      <c r="A70" s="16" t="inlineStr">
        <is>
          <t>SCH-069</t>
        </is>
      </c>
      <c r="B70" s="17" t="inlineStr">
        <is>
          <t>My Visits (clinician)</t>
        </is>
      </c>
      <c r="C70" s="17" t="inlineStr">
        <is>
          <t>My Visits loads the logged-in clinician's week grouped by day</t>
        </is>
      </c>
      <c r="D70" s="21" t="inlineStr">
        <is>
          <t>High</t>
        </is>
      </c>
      <c r="E70" s="17" t="inlineStr">
        <is>
          <t>Functional</t>
        </is>
      </c>
      <c r="F70" s="17" t="inlineStr">
        <is>
          <t>Logged-in clinician is assigned to an approved/active schedule this week.</t>
        </is>
      </c>
      <c r="G70" s="17" t="inlineStr">
        <is>
          <t>1. Navigate to /saranam/scheduling/my-visits</t>
        </is>
      </c>
      <c r="H70" s="17" t="inlineStr">
        <is>
          <t>N/A</t>
        </is>
      </c>
      <c r="I70" s="17" t="inlineStr">
        <is>
          <t>Shows 'My Visits', week label, day accordions (expanded by default) each listing the clinician's patients with UHID, cluster, address, phone, Navigate and Start Visit actions.</t>
        </is>
      </c>
      <c r="J70" s="17" t="inlineStr">
        <is>
          <t>GET /api/saranam/scheduling/my-schedule</t>
        </is>
      </c>
      <c r="K70" s="14" t="inlineStr"/>
      <c r="L70" s="15" t="inlineStr">
        <is>
          <t>Not Executed</t>
        </is>
      </c>
      <c r="M70" s="15" t="inlineStr"/>
      <c r="N70" s="15" t="inlineStr"/>
      <c r="O70" s="15" t="inlineStr"/>
      <c r="P70" s="14" t="inlineStr"/>
    </row>
    <row r="71" ht="60" customHeight="1">
      <c r="A71" s="16" t="inlineStr">
        <is>
          <t>SCH-070</t>
        </is>
      </c>
      <c r="B71" s="17" t="inlineStr">
        <is>
          <t>My Visits (clinician)</t>
        </is>
      </c>
      <c r="C71" s="17" t="inlineStr">
        <is>
          <t>Acknowledge schedule banner</t>
        </is>
      </c>
      <c r="D71" s="21" t="inlineStr">
        <is>
          <t>High</t>
        </is>
      </c>
      <c r="E71" s="17" t="inlineStr">
        <is>
          <t>Functional</t>
        </is>
      </c>
      <c r="F71" s="17" t="inlineStr">
        <is>
          <t>My schedule not yet acknowledged.</t>
        </is>
      </c>
      <c r="G71" s="17" t="inlineStr">
        <is>
          <t>1. On My Visits click 'Acknowledge'</t>
        </is>
      </c>
      <c r="H71" s="17" t="inlineStr">
        <is>
          <t>N/A</t>
        </is>
      </c>
      <c r="I71" s="17" t="inlineStr">
        <is>
          <t>Acknowledge button shows a spinner then the warning banner disappears (acknowledged=true). On error 'Failed to acknowledge schedule' is shown.</t>
        </is>
      </c>
      <c r="J71" s="17" t="inlineStr">
        <is>
          <t>POST /api/saranam/scheduling/schedules/{scheduleId}/acknowledge</t>
        </is>
      </c>
      <c r="K71" s="14" t="inlineStr"/>
      <c r="L71" s="15" t="inlineStr">
        <is>
          <t>Not Executed</t>
        </is>
      </c>
      <c r="M71" s="15" t="inlineStr"/>
      <c r="N71" s="15" t="inlineStr"/>
      <c r="O71" s="15" t="inlineStr"/>
      <c r="P71" s="14" t="inlineStr"/>
    </row>
    <row r="72" ht="45" customHeight="1">
      <c r="A72" s="16" t="inlineStr">
        <is>
          <t>SCH-071</t>
        </is>
      </c>
      <c r="B72" s="17" t="inlineStr">
        <is>
          <t>My Visits (clinician)</t>
        </is>
      </c>
      <c r="C72" s="17" t="inlineStr">
        <is>
          <t>My Visits empty / no-schedule state (404 handled)</t>
        </is>
      </c>
      <c r="D72" s="18" t="inlineStr">
        <is>
          <t>Medium</t>
        </is>
      </c>
      <c r="E72" s="17" t="inlineStr">
        <is>
          <t>Edge Case</t>
        </is>
      </c>
      <c r="F72" s="17" t="inlineStr">
        <is>
          <t>Clinician has no schedule for this week.</t>
        </is>
      </c>
      <c r="G72" s="17" t="inlineStr">
        <is>
          <t>1. Open /saranam/scheduling/my-visits</t>
        </is>
      </c>
      <c r="H72" s="17" t="inlineStr">
        <is>
          <t>N/A</t>
        </is>
      </c>
      <c r="I72" s="17" t="inlineStr">
        <is>
          <t>A 404 from my-schedule is treated as 'no schedule' (not an error): shows 'No schedule assigned for this week' empty state.</t>
        </is>
      </c>
      <c r="J72" s="17" t="inlineStr">
        <is>
          <t>GET /my-schedule -&gt; 404</t>
        </is>
      </c>
      <c r="K72" s="14" t="inlineStr"/>
      <c r="L72" s="15" t="inlineStr">
        <is>
          <t>Not Executed</t>
        </is>
      </c>
      <c r="M72" s="15" t="inlineStr"/>
      <c r="N72" s="15" t="inlineStr"/>
      <c r="O72" s="15" t="inlineStr"/>
      <c r="P72" s="14" t="inlineStr"/>
    </row>
    <row r="73" ht="60" customHeight="1">
      <c r="A73" s="16" t="inlineStr">
        <is>
          <t>SCH-072</t>
        </is>
      </c>
      <c r="B73" s="17" t="inlineStr">
        <is>
          <t>My Visits (clinician)</t>
        </is>
      </c>
      <c r="C73" s="17" t="inlineStr">
        <is>
          <t>Navigate link + tel link + Start Visit navigation</t>
        </is>
      </c>
      <c r="D73" s="18" t="inlineStr">
        <is>
          <t>Medium</t>
        </is>
      </c>
      <c r="E73" s="17" t="inlineStr">
        <is>
          <t>Functional</t>
        </is>
      </c>
      <c r="F73" s="17" t="inlineStr">
        <is>
          <t>My Visits with a patient having address and phone.</t>
        </is>
      </c>
      <c r="G73" s="17" t="inlineStr">
        <is>
          <t>1. Click Navigate (opens Google Maps in new tab)
2. Click the phone link
3. Click Start Visit</t>
        </is>
      </c>
      <c r="H73" s="17" t="inlineStr">
        <is>
          <t>N/A</t>
        </is>
      </c>
      <c r="I73" s="17" t="inlineStr">
        <is>
          <t>Navigate opens maps.google.com search for the address in a new tab; phone uses tel:; Start Visit routes to /saranam/patients/{patientId}/visit.</t>
        </is>
      </c>
      <c r="J73" s="17" t="inlineStr">
        <is>
          <t>N/A (links/navigation)</t>
        </is>
      </c>
      <c r="K73" s="14" t="inlineStr"/>
      <c r="L73" s="15" t="inlineStr">
        <is>
          <t>Not Executed</t>
        </is>
      </c>
      <c r="M73" s="15" t="inlineStr"/>
      <c r="N73" s="15" t="inlineStr"/>
      <c r="O73" s="15" t="inlineStr"/>
      <c r="P73" s="14" t="inlineStr"/>
    </row>
    <row r="74" ht="30" customHeight="1">
      <c r="A74" s="16" t="inlineStr">
        <is>
          <t>SCH-073</t>
        </is>
      </c>
      <c r="B74" s="17" t="inlineStr">
        <is>
          <t>My Visits (clinician)</t>
        </is>
      </c>
      <c r="C74" s="17" t="inlineStr">
        <is>
          <t>My Visits load failure shows retry</t>
        </is>
      </c>
      <c r="D74" s="22" t="inlineStr">
        <is>
          <t>Low</t>
        </is>
      </c>
      <c r="E74" s="17" t="inlineStr">
        <is>
          <t>Negative</t>
        </is>
      </c>
      <c r="F74" s="17" t="inlineStr">
        <is>
          <t>Simulate a non-404 failure (e.g. 500).</t>
        </is>
      </c>
      <c r="G74" s="17" t="inlineStr">
        <is>
          <t>1. Open My Visits with the API returning 500</t>
        </is>
      </c>
      <c r="H74" s="17" t="inlineStr">
        <is>
          <t>N/A</t>
        </is>
      </c>
      <c r="I74" s="17" t="inlineStr">
        <is>
          <t>An error Alert 'Failed to load your schedule' with a Retry action button is shown.</t>
        </is>
      </c>
      <c r="J74" s="17" t="inlineStr">
        <is>
          <t>GET /my-schedule -&gt; 500</t>
        </is>
      </c>
      <c r="K74" s="14" t="inlineStr"/>
      <c r="L74" s="15" t="inlineStr">
        <is>
          <t>Not Executed</t>
        </is>
      </c>
      <c r="M74" s="15" t="inlineStr"/>
      <c r="N74" s="15" t="inlineStr"/>
      <c r="O74" s="15" t="inlineStr"/>
      <c r="P74" s="14" t="inlineStr"/>
    </row>
    <row r="75" ht="75" customHeight="1">
      <c r="A75" s="11" t="inlineStr">
        <is>
          <t>SCH-074</t>
        </is>
      </c>
      <c r="B75" s="12" t="inlineStr">
        <is>
          <t>Today's Visits (clinician)</t>
        </is>
      </c>
      <c r="C75" s="12" t="inlineStr">
        <is>
          <t>Today's Visits loads with completed counter</t>
        </is>
      </c>
      <c r="D75" s="13" t="inlineStr">
        <is>
          <t>High</t>
        </is>
      </c>
      <c r="E75" s="12" t="inlineStr">
        <is>
          <t>Functional</t>
        </is>
      </c>
      <c r="F75" s="12" t="inlineStr">
        <is>
          <t>Clinician has visits scheduled for today.</t>
        </is>
      </c>
      <c r="G75" s="12" t="inlineStr">
        <is>
          <t>1. Navigate to /saranam/scheduling/my-visits/today</t>
        </is>
      </c>
      <c r="H75" s="12" t="inlineStr">
        <is>
          <t>N/A</t>
        </is>
      </c>
      <c r="I75" s="12" t="inlineStr">
        <is>
          <t>Shows 'Today's Visits', today's date, an 'X of Y completed' chip, and visit cards with status icon, BSC/Onco/Ad-hoc chips, cluster, address, phone and status-appropriate actions.</t>
        </is>
      </c>
      <c r="J75" s="12" t="inlineStr">
        <is>
          <t>GET /api/saranam/scheduling/my-schedule/today</t>
        </is>
      </c>
      <c r="K75" s="14" t="inlineStr"/>
      <c r="L75" s="15" t="inlineStr">
        <is>
          <t>Not Executed</t>
        </is>
      </c>
      <c r="M75" s="15" t="inlineStr"/>
      <c r="N75" s="15" t="inlineStr"/>
      <c r="O75" s="15" t="inlineStr"/>
      <c r="P75" s="14" t="inlineStr"/>
    </row>
    <row r="76" ht="60" customHeight="1">
      <c r="A76" s="11" t="inlineStr">
        <is>
          <t>SCH-075</t>
        </is>
      </c>
      <c r="B76" s="12" t="inlineStr">
        <is>
          <t>Today's Visits (clinician)</t>
        </is>
      </c>
      <c r="C76" s="12" t="inlineStr">
        <is>
          <t>Start -&gt; Complete -&gt; View flow on a visit</t>
        </is>
      </c>
      <c r="D76" s="13" t="inlineStr">
        <is>
          <t>High</t>
        </is>
      </c>
      <c r="E76" s="12" t="inlineStr">
        <is>
          <t>Functional</t>
        </is>
      </c>
      <c r="F76" s="12" t="inlineStr">
        <is>
          <t>A scheduled visit today.</t>
        </is>
      </c>
      <c r="G76" s="12" t="inlineStr">
        <is>
          <t>1. Click Start Visit (scheduled-&gt;in_progress)
2. Click Mark Completed (in_progress-&gt;completed)
3. Click View Assessment</t>
        </is>
      </c>
      <c r="H76" s="12" t="inlineStr">
        <is>
          <t>N/A</t>
        </is>
      </c>
      <c r="I76" s="12" t="inlineStr">
        <is>
          <t>Status transitions optimistically per click; completed shows a View Assessment button linking to /saranam/patients/{patientId}/visit; completed counter increments.</t>
        </is>
      </c>
      <c r="J76" s="12" t="inlineStr">
        <is>
          <t>PUT /slots/{slotId} {status:'in_progress'} then {status:'completed'}</t>
        </is>
      </c>
      <c r="K76" s="14" t="inlineStr"/>
      <c r="L76" s="15" t="inlineStr">
        <is>
          <t>Not Executed</t>
        </is>
      </c>
      <c r="M76" s="15" t="inlineStr"/>
      <c r="N76" s="15" t="inlineStr"/>
      <c r="O76" s="15" t="inlineStr"/>
      <c r="P76" s="14" t="inlineStr"/>
    </row>
    <row r="77" ht="60" customHeight="1">
      <c r="A77" s="11" t="inlineStr">
        <is>
          <t>SCH-076</t>
        </is>
      </c>
      <c r="B77" s="12" t="inlineStr">
        <is>
          <t>Today's Visits (clinician)</t>
        </is>
      </c>
      <c r="C77" s="12" t="inlineStr">
        <is>
          <t>Mark Missed dialog with 'Other' free text</t>
        </is>
      </c>
      <c r="D77" s="19" t="inlineStr">
        <is>
          <t>Medium</t>
        </is>
      </c>
      <c r="E77" s="12" t="inlineStr">
        <is>
          <t>Validation</t>
        </is>
      </c>
      <c r="F77" s="12" t="inlineStr">
        <is>
          <t>An in_progress visit today.</t>
        </is>
      </c>
      <c r="G77" s="12" t="inlineStr">
        <is>
          <t>1. Click Mark Missed
2. Select 'Other', enter details
3. Confirm Missed</t>
        </is>
      </c>
      <c r="H77" s="12" t="inlineStr">
        <is>
          <t>Reason 'Other: Family requested reschedule'</t>
        </is>
      </c>
      <c r="I77" s="12" t="inlineStr">
        <is>
          <t>Confirm disabled until a reason is chosen; with 'Other' the free-text is appended ('Other: ...'); slot becomes missed with that reason.</t>
        </is>
      </c>
      <c r="J77" s="12" t="inlineStr">
        <is>
          <t>PUT /slots/{slotId} {status:'missed', missed_reason}</t>
        </is>
      </c>
      <c r="K77" s="14" t="inlineStr"/>
      <c r="L77" s="15" t="inlineStr">
        <is>
          <t>Not Executed</t>
        </is>
      </c>
      <c r="M77" s="15" t="inlineStr"/>
      <c r="N77" s="15" t="inlineStr"/>
      <c r="O77" s="15" t="inlineStr"/>
      <c r="P77" s="14" t="inlineStr"/>
    </row>
    <row r="78" ht="45" customHeight="1">
      <c r="A78" s="11" t="inlineStr">
        <is>
          <t>SCH-077</t>
        </is>
      </c>
      <c r="B78" s="12" t="inlineStr">
        <is>
          <t>Today's Visits (clinician)</t>
        </is>
      </c>
      <c r="C78" s="12" t="inlineStr">
        <is>
          <t>Today's Visits empty state (no visits / 404)</t>
        </is>
      </c>
      <c r="D78" s="20" t="inlineStr">
        <is>
          <t>Low</t>
        </is>
      </c>
      <c r="E78" s="12" t="inlineStr">
        <is>
          <t>Edge Case</t>
        </is>
      </c>
      <c r="F78" s="12" t="inlineStr">
        <is>
          <t>No visits today.</t>
        </is>
      </c>
      <c r="G78" s="12" t="inlineStr">
        <is>
          <t>1. Open Today's Visits</t>
        </is>
      </c>
      <c r="H78" s="12" t="inlineStr">
        <is>
          <t>N/A</t>
        </is>
      </c>
      <c r="I78" s="12" t="inlineStr">
        <is>
          <t>Shows 'No visits scheduled for today' empty state; a 404 is handled gracefully as empty, not an error.</t>
        </is>
      </c>
      <c r="J78" s="12" t="inlineStr">
        <is>
          <t>GET /my-schedule/today</t>
        </is>
      </c>
      <c r="K78" s="14" t="inlineStr"/>
      <c r="L78" s="15" t="inlineStr">
        <is>
          <t>Not Executed</t>
        </is>
      </c>
      <c r="M78" s="15" t="inlineStr"/>
      <c r="N78" s="15" t="inlineStr"/>
      <c r="O78" s="15" t="inlineStr"/>
      <c r="P78" s="14" t="inlineStr"/>
    </row>
    <row r="79" ht="75" customHeight="1">
      <c r="A79" s="16" t="inlineStr">
        <is>
          <t>SCH-078</t>
        </is>
      </c>
      <c r="B79" s="17" t="inlineStr">
        <is>
          <t>Kit Readiness</t>
        </is>
      </c>
      <c r="C79" s="17" t="inlineStr">
        <is>
          <t>Kit Readiness loads days with ready counter</t>
        </is>
      </c>
      <c r="D79" s="21" t="inlineStr">
        <is>
          <t>High</t>
        </is>
      </c>
      <c r="E79" s="17" t="inlineStr">
        <is>
          <t>Functional</t>
        </is>
      </c>
      <c r="F79" s="17" t="inlineStr">
        <is>
          <t>A schedule with days/slots.</t>
        </is>
      </c>
      <c r="G79" s="17" t="inlineStr">
        <is>
          <t>1. Navigate to /saranam/scheduling/kit/:scheduleId</t>
        </is>
      </c>
      <c r="H79" s="17" t="inlineStr">
        <is>
          <t>N/A</t>
        </is>
      </c>
      <c r="I79" s="17" t="inlineStr">
        <is>
          <t>Header 'Kit Readiness', an 'X/Y days ready' badge (green when all ready else orange), day tabs each with check/warning icon, and the selected day's patient table (#, name, BSC/Active + Onco/Non-Onco, notes).</t>
        </is>
      </c>
      <c r="J79" s="17" t="inlineStr">
        <is>
          <t>GET /api/saranam/scheduling/schedules/{id}</t>
        </is>
      </c>
      <c r="K79" s="14" t="inlineStr"/>
      <c r="L79" s="15" t="inlineStr">
        <is>
          <t>Not Executed</t>
        </is>
      </c>
      <c r="M79" s="15" t="inlineStr"/>
      <c r="N79" s="15" t="inlineStr"/>
      <c r="O79" s="15" t="inlineStr"/>
      <c r="P79" s="14" t="inlineStr"/>
    </row>
    <row r="80" ht="60" customHeight="1">
      <c r="A80" s="16" t="inlineStr">
        <is>
          <t>SCH-079</t>
        </is>
      </c>
      <c r="B80" s="17" t="inlineStr">
        <is>
          <t>Kit Readiness</t>
        </is>
      </c>
      <c r="C80" s="17" t="inlineStr">
        <is>
          <t>Mark Kit Ready for a day</t>
        </is>
      </c>
      <c r="D80" s="21" t="inlineStr">
        <is>
          <t>High</t>
        </is>
      </c>
      <c r="E80" s="17" t="inlineStr">
        <is>
          <t>Functional</t>
        </is>
      </c>
      <c r="F80" s="17" t="inlineStr">
        <is>
          <t>Kit page on a day with kit_ready=false.</t>
        </is>
      </c>
      <c r="G80" s="17" t="inlineStr">
        <is>
          <t>1. Click 'Mark Kit Ready'</t>
        </is>
      </c>
      <c r="H80" s="17" t="inlineStr">
        <is>
          <t>N/A</t>
        </is>
      </c>
      <c r="I80" s="17" t="inlineStr">
        <is>
          <t>Button shows 'Marking...', the day becomes Kit Ready (green badge + 'Marked ready at' timestamp), the X/Y counter updates, and the day tab shows a green check.</t>
        </is>
      </c>
      <c r="J80" s="17" t="inlineStr">
        <is>
          <t>PUT /api/saranam/scheduling/days/{dayId} {kit_ready:true}</t>
        </is>
      </c>
      <c r="K80" s="14" t="inlineStr"/>
      <c r="L80" s="15" t="inlineStr">
        <is>
          <t>Not Executed</t>
        </is>
      </c>
      <c r="M80" s="15" t="inlineStr"/>
      <c r="N80" s="15" t="inlineStr"/>
      <c r="O80" s="15" t="inlineStr"/>
      <c r="P80" s="14" t="inlineStr"/>
    </row>
    <row r="81" ht="75" customHeight="1">
      <c r="A81" s="16" t="inlineStr">
        <is>
          <t>SCH-080</t>
        </is>
      </c>
      <c r="B81" s="17" t="inlineStr">
        <is>
          <t>Kit Readiness</t>
        </is>
      </c>
      <c r="C81" s="17" t="inlineStr">
        <is>
          <t>Kit Readiness empty / no-days and back link</t>
        </is>
      </c>
      <c r="D81" s="22" t="inlineStr">
        <is>
          <t>Low</t>
        </is>
      </c>
      <c r="E81" s="17" t="inlineStr">
        <is>
          <t>UI/UX</t>
        </is>
      </c>
      <c r="F81" s="17" t="inlineStr">
        <is>
          <t>A schedule with no days, plus any schedule.</t>
        </is>
      </c>
      <c r="G81" s="17" t="inlineStr">
        <is>
          <t>1. Open kit page for a schedule with no days
2. Click 'Back to Schedule'</t>
        </is>
      </c>
      <c r="H81" s="17" t="inlineStr">
        <is>
          <t>N/A</t>
        </is>
      </c>
      <c r="I81" s="17" t="inlineStr">
        <is>
          <t>Shows 'No days found in this schedule' card. Back to Schedule navigates to /saranam/scheduling/{scheduleId} (note: this path has no route - verify it 404s/redirects, log as a defect if broken).</t>
        </is>
      </c>
      <c r="J81" s="17" t="inlineStr">
        <is>
          <t>GET /schedules/{id}</t>
        </is>
      </c>
      <c r="K81" s="14" t="inlineStr"/>
      <c r="L81" s="15" t="inlineStr">
        <is>
          <t>Not Executed</t>
        </is>
      </c>
      <c r="M81" s="15" t="inlineStr"/>
      <c r="N81" s="15" t="inlineStr"/>
      <c r="O81" s="15" t="inlineStr"/>
      <c r="P81" s="14" t="inlineStr"/>
    </row>
    <row r="82" ht="90" customHeight="1">
      <c r="A82" s="11" t="inlineStr">
        <is>
          <t>SCH-081</t>
        </is>
      </c>
      <c r="B82" s="12" t="inlineStr">
        <is>
          <t>Deviation Report</t>
        </is>
      </c>
      <c r="C82" s="12" t="inlineStr">
        <is>
          <t>Deviation Report shows summary cards, compliance and per-day table</t>
        </is>
      </c>
      <c r="D82" s="13" t="inlineStr">
        <is>
          <t>High</t>
        </is>
      </c>
      <c r="E82" s="12" t="inlineStr">
        <is>
          <t>Functional</t>
        </is>
      </c>
      <c r="F82" s="12" t="inlineStr">
        <is>
          <t>A schedule with completed/missed/cancelled/adhoc slots and deviations.</t>
        </is>
      </c>
      <c r="G82" s="12" t="inlineStr">
        <is>
          <t>1. Navigate to /saranam/scheduling/deviation-report/:scheduleId</t>
        </is>
      </c>
      <c r="H82" s="12" t="inlineStr">
        <is>
          <t>N/A</t>
        </is>
      </c>
      <c r="I82" s="12" t="inlineStr">
        <is>
          <t>Summary cards (Total, On Time, Late, Missed, Cancelled, Ad-hoc), a Compliance Rate bar (colour by threshold), a 'Reported Deviations' list, and a Daily Breakdown table with Patient/Scheduled/Actual/Status/Reason per slot.</t>
        </is>
      </c>
      <c r="J82" s="12" t="inlineStr">
        <is>
          <t>GET /schedules/{id} + GET /schedules/{id}/deviations</t>
        </is>
      </c>
      <c r="K82" s="14" t="inlineStr"/>
      <c r="L82" s="15" t="inlineStr">
        <is>
          <t>Not Executed</t>
        </is>
      </c>
      <c r="M82" s="15" t="inlineStr"/>
      <c r="N82" s="15" t="inlineStr"/>
      <c r="O82" s="15" t="inlineStr"/>
      <c r="P82" s="14" t="inlineStr"/>
    </row>
    <row r="83" ht="45" customHeight="1">
      <c r="A83" s="11" t="inlineStr">
        <is>
          <t>SCH-082</t>
        </is>
      </c>
      <c r="B83" s="12" t="inlineStr">
        <is>
          <t>Deviation Report</t>
        </is>
      </c>
      <c r="C83" s="12" t="inlineStr">
        <is>
          <t>Deviation Report load failure and not-found</t>
        </is>
      </c>
      <c r="D83" s="19" t="inlineStr">
        <is>
          <t>Medium</t>
        </is>
      </c>
      <c r="E83" s="12" t="inlineStr">
        <is>
          <t>Negative</t>
        </is>
      </c>
      <c r="F83" s="12" t="inlineStr">
        <is>
          <t>Invalid scheduleId / API failure.</t>
        </is>
      </c>
      <c r="G83" s="12" t="inlineStr">
        <is>
          <t>1. Open deviation-report with a bad scheduleId or failing API</t>
        </is>
      </c>
      <c r="H83" s="12" t="inlineStr">
        <is>
          <t>Non-existent GUID</t>
        </is>
      </c>
      <c r="I83" s="12" t="inlineStr">
        <is>
          <t>On failure shows 'Failed to load report data' Alert; if schedule null shows 'Schedule not found' info Alert; no crash.</t>
        </is>
      </c>
      <c r="J83" s="12" t="inlineStr">
        <is>
          <t>GET /schedules/{id} + GET /schedules/{id}/deviations</t>
        </is>
      </c>
      <c r="K83" s="14" t="inlineStr"/>
      <c r="L83" s="15" t="inlineStr">
        <is>
          <t>Not Executed</t>
        </is>
      </c>
      <c r="M83" s="15" t="inlineStr"/>
      <c r="N83" s="15" t="inlineStr"/>
      <c r="O83" s="15" t="inlineStr"/>
      <c r="P83" s="14" t="inlineStr"/>
    </row>
    <row r="84" ht="60" customHeight="1">
      <c r="A84" s="11" t="inlineStr">
        <is>
          <t>SCH-083</t>
        </is>
      </c>
      <c r="B84" s="12" t="inlineStr">
        <is>
          <t>Deviation Report</t>
        </is>
      </c>
      <c r="C84" s="12" t="inlineStr">
        <is>
          <t>Compliance rate computation (late &gt; 30 min) reflected</t>
        </is>
      </c>
      <c r="D84" s="19" t="inlineStr">
        <is>
          <t>Medium</t>
        </is>
      </c>
      <c r="E84" s="12" t="inlineStr">
        <is>
          <t>Data Integrity</t>
        </is>
      </c>
      <c r="F84" s="12" t="inlineStr">
        <is>
          <t>Completed slots with started_at &gt;30 min after scheduled_time.</t>
        </is>
      </c>
      <c r="G84" s="12" t="inlineStr">
        <is>
          <t>1. Open the report and compare Late count vs On Time and Compliance %</t>
        </is>
      </c>
      <c r="H84" s="12" t="inlineStr">
        <is>
          <t>Slot scheduled 10:00 started 10:45</t>
        </is>
      </c>
      <c r="I84" s="12" t="inlineStr">
        <is>
          <t>Visits started &gt;30 min late count as Late; On Time = completed - late; Compliance% = round(onTime/total*100). Bar colour: green &gt;=80, amber &gt;=50, red below.</t>
        </is>
      </c>
      <c r="J84" s="12" t="inlineStr">
        <is>
          <t>N/A (client computed from slot data)</t>
        </is>
      </c>
      <c r="K84" s="14" t="inlineStr"/>
      <c r="L84" s="15" t="inlineStr">
        <is>
          <t>Not Executed</t>
        </is>
      </c>
      <c r="M84" s="15" t="inlineStr"/>
      <c r="N84" s="15" t="inlineStr"/>
      <c r="O84" s="15" t="inlineStr"/>
      <c r="P84" s="14" t="inlineStr"/>
    </row>
    <row r="85" ht="90" customHeight="1">
      <c r="A85" s="16" t="inlineStr">
        <is>
          <t>SCH-084</t>
        </is>
      </c>
      <c r="B85" s="17" t="inlineStr">
        <is>
          <t>Review Dashboard</t>
        </is>
      </c>
      <c r="C85" s="17" t="inlineStr">
        <is>
          <t>Review Dashboard shows metric cards and day breakdown</t>
        </is>
      </c>
      <c r="D85" s="21" t="inlineStr">
        <is>
          <t>High</t>
        </is>
      </c>
      <c r="E85" s="17" t="inlineStr">
        <is>
          <t>Functional</t>
        </is>
      </c>
      <c r="F85" s="17" t="inlineStr">
        <is>
          <t>A review_ready schedule.</t>
        </is>
      </c>
      <c r="G85" s="17" t="inlineStr">
        <is>
          <t>1. Navigate to /saranam/scheduling/review-dashboard/:scheduleId</t>
        </is>
      </c>
      <c r="H85" s="17" t="inlineStr">
        <is>
          <t>N/A</t>
        </is>
      </c>
      <c r="I85" s="17" t="inlineStr">
        <is>
          <t>Header 'Weekly Review' + week label; metric cards (Completion Rate, BSC Coverage, Cluster Efficiency, Missed Visits) coloured by target (Missed inverts: lower is better); Day Breakdown table; Missed Visit Details when present; Review Notes textarea.</t>
        </is>
      </c>
      <c r="J85" s="17" t="inlineStr">
        <is>
          <t>GET /api/saranam/scheduling/schedules/{id}/review</t>
        </is>
      </c>
      <c r="K85" s="14" t="inlineStr"/>
      <c r="L85" s="15" t="inlineStr">
        <is>
          <t>Not Executed</t>
        </is>
      </c>
      <c r="M85" s="15" t="inlineStr"/>
      <c r="N85" s="15" t="inlineStr"/>
      <c r="O85" s="15" t="inlineStr"/>
      <c r="P85" s="14" t="inlineStr"/>
    </row>
    <row r="86" ht="75" customHeight="1">
      <c r="A86" s="16" t="inlineStr">
        <is>
          <t>SCH-085</t>
        </is>
      </c>
      <c r="B86" s="17" t="inlineStr">
        <is>
          <t>Review Dashboard</t>
        </is>
      </c>
      <c r="C86" s="17" t="inlineStr">
        <is>
          <t>Complete Review &amp; Archive</t>
        </is>
      </c>
      <c r="D86" s="21" t="inlineStr">
        <is>
          <t>High</t>
        </is>
      </c>
      <c r="E86" s="17" t="inlineStr">
        <is>
          <t>Functional</t>
        </is>
      </c>
      <c r="F86" s="17" t="inlineStr">
        <is>
          <t>Review Dashboard open for a review_ready schedule.</t>
        </is>
      </c>
      <c r="G86" s="17" t="inlineStr">
        <is>
          <t>1. Enter review notes
2. Click 'Complete Review &amp; Archive'</t>
        </is>
      </c>
      <c r="H86" s="17" t="inlineStr">
        <is>
          <t>Notes 'Good week, 2 misses due to travel'</t>
        </is>
      </c>
      <c r="I86" s="17" t="inlineStr">
        <is>
          <t>Button shows spinner; on success a 'Review Complete' confirmation screen replaces the page and the schedule moves to archived. Status now shows under the Archived tab on the calendar.</t>
        </is>
      </c>
      <c r="J86" s="17" t="inlineStr">
        <is>
          <t>POST /api/saranam/scheduling/schedules/{id}/complete-review {review_notes}</t>
        </is>
      </c>
      <c r="K86" s="14" t="inlineStr"/>
      <c r="L86" s="15" t="inlineStr">
        <is>
          <t>Not Executed</t>
        </is>
      </c>
      <c r="M86" s="15" t="inlineStr"/>
      <c r="N86" s="15" t="inlineStr"/>
      <c r="O86" s="15" t="inlineStr"/>
      <c r="P86" s="14" t="inlineStr"/>
    </row>
    <row r="87" ht="45" customHeight="1">
      <c r="A87" s="16" t="inlineStr">
        <is>
          <t>SCH-086</t>
        </is>
      </c>
      <c r="B87" s="17" t="inlineStr">
        <is>
          <t>Review Dashboard</t>
        </is>
      </c>
      <c r="C87" s="17" t="inlineStr">
        <is>
          <t>Review load failure shows retry</t>
        </is>
      </c>
      <c r="D87" s="22" t="inlineStr">
        <is>
          <t>Low</t>
        </is>
      </c>
      <c r="E87" s="17" t="inlineStr">
        <is>
          <t>Negative</t>
        </is>
      </c>
      <c r="F87" s="17" t="inlineStr">
        <is>
          <t>Failing review API.</t>
        </is>
      </c>
      <c r="G87" s="17" t="inlineStr">
        <is>
          <t>1. Open review-dashboard with the API failing</t>
        </is>
      </c>
      <c r="H87" s="17" t="inlineStr">
        <is>
          <t>N/A</t>
        </is>
      </c>
      <c r="I87" s="17" t="inlineStr">
        <is>
          <t>Error Alert 'Failed to load review data' with Retry; metric cards show '--' for null values.</t>
        </is>
      </c>
      <c r="J87" s="17" t="inlineStr">
        <is>
          <t>GET /schedules/{id}/review</t>
        </is>
      </c>
      <c r="K87" s="14" t="inlineStr"/>
      <c r="L87" s="15" t="inlineStr">
        <is>
          <t>Not Executed</t>
        </is>
      </c>
      <c r="M87" s="15" t="inlineStr"/>
      <c r="N87" s="15" t="inlineStr"/>
      <c r="O87" s="15" t="inlineStr"/>
      <c r="P87" s="14" t="inlineStr"/>
    </row>
    <row r="88" ht="60" customHeight="1">
      <c r="A88" s="11" t="inlineStr">
        <is>
          <t>SCH-087</t>
        </is>
      </c>
      <c r="B88" s="12" t="inlineStr">
        <is>
          <t>Audit Log</t>
        </is>
      </c>
      <c r="C88" s="12" t="inlineStr">
        <is>
          <t>Audit Log lists entries with timestamp, action, actor, details</t>
        </is>
      </c>
      <c r="D88" s="13" t="inlineStr">
        <is>
          <t>High</t>
        </is>
      </c>
      <c r="E88" s="12" t="inlineStr">
        <is>
          <t>Functional</t>
        </is>
      </c>
      <c r="F88" s="12" t="inlineStr">
        <is>
          <t>A schedule with audit activity (slot add/move/remove, submit, approve).</t>
        </is>
      </c>
      <c r="G88" s="12" t="inlineStr">
        <is>
          <t>1. Navigate to /saranam/scheduling/audit/:scheduleId</t>
        </is>
      </c>
      <c r="H88" s="12" t="inlineStr">
        <is>
          <t>N/A</t>
        </is>
      </c>
      <c r="I88" s="12" t="inlineStr">
        <is>
          <t>Table shows Timestamp, colour-coded Action badge, Actor and a Details summary; clicking a row expands a JSON detail block. Pagination appears when &gt; 20 entries.</t>
        </is>
      </c>
      <c r="J88" s="12" t="inlineStr">
        <is>
          <t>GET /api/saranam/scheduling/schedules/{id}/audit-log?page&amp;per_page</t>
        </is>
      </c>
      <c r="K88" s="14" t="inlineStr"/>
      <c r="L88" s="15" t="inlineStr">
        <is>
          <t>Not Executed</t>
        </is>
      </c>
      <c r="M88" s="15" t="inlineStr"/>
      <c r="N88" s="15" t="inlineStr"/>
      <c r="O88" s="15" t="inlineStr"/>
      <c r="P88" s="14" t="inlineStr"/>
    </row>
    <row r="89" ht="60" customHeight="1">
      <c r="A89" s="11" t="inlineStr">
        <is>
          <t>SCH-088</t>
        </is>
      </c>
      <c r="B89" s="12" t="inlineStr">
        <is>
          <t>Audit Log</t>
        </is>
      </c>
      <c r="C89" s="12" t="inlineStr">
        <is>
          <t>Audit Log action filter</t>
        </is>
      </c>
      <c r="D89" s="19" t="inlineStr">
        <is>
          <t>Medium</t>
        </is>
      </c>
      <c r="E89" s="12" t="inlineStr">
        <is>
          <t>Functional</t>
        </is>
      </c>
      <c r="F89" s="12" t="inlineStr">
        <is>
          <t>Audit log with multiple action types.</t>
        </is>
      </c>
      <c r="G89" s="12" t="inlineStr">
        <is>
          <t>1. Open the Filter dropdown and select a specific action (e.g. 'Approve')
2. Then select 'All Actions'</t>
        </is>
      </c>
      <c r="H89" s="12" t="inlineStr">
        <is>
          <t>Action filter</t>
        </is>
      </c>
      <c r="I89" s="12" t="inlineStr">
        <is>
          <t>Selecting an action re-fetches filtered entries and resets to page 1; 'All Actions' clears the filter. Filter options derive from loaded entries.</t>
        </is>
      </c>
      <c r="J89" s="12" t="inlineStr">
        <is>
          <t>GET /schedules/{id}/audit-log?action=&lt;value&gt;</t>
        </is>
      </c>
      <c r="K89" s="14" t="inlineStr"/>
      <c r="L89" s="15" t="inlineStr">
        <is>
          <t>Not Executed</t>
        </is>
      </c>
      <c r="M89" s="15" t="inlineStr"/>
      <c r="N89" s="15" t="inlineStr"/>
      <c r="O89" s="15" t="inlineStr"/>
      <c r="P89" s="14" t="inlineStr"/>
    </row>
    <row r="90" ht="60" customHeight="1">
      <c r="A90" s="11" t="inlineStr">
        <is>
          <t>SCH-089</t>
        </is>
      </c>
      <c r="B90" s="12" t="inlineStr">
        <is>
          <t>Audit Log</t>
        </is>
      </c>
      <c r="C90" s="12" t="inlineStr">
        <is>
          <t>Audit Log pagination navigates pages</t>
        </is>
      </c>
      <c r="D90" s="19" t="inlineStr">
        <is>
          <t>Medium</t>
        </is>
      </c>
      <c r="E90" s="12" t="inlineStr">
        <is>
          <t>Functional</t>
        </is>
      </c>
      <c r="F90" s="12" t="inlineStr">
        <is>
          <t>Schedule with &gt; 20 audit entries.</t>
        </is>
      </c>
      <c r="G90" s="12" t="inlineStr">
        <is>
          <t>1. Click Next then Previous; observe page indicator and disabled states</t>
        </is>
      </c>
      <c r="H90" s="12" t="inlineStr">
        <is>
          <t>N/A</t>
        </is>
      </c>
      <c r="I90" s="12" t="inlineStr">
        <is>
          <t>Page increments/decrements fetch the matching page; Previous disabled on page 1, Next disabled on last page; 'Page X of Y' is accurate.</t>
        </is>
      </c>
      <c r="J90" s="12" t="inlineStr">
        <is>
          <t>GET /schedules/{id}/audit-log?page=N&amp;per_page=20</t>
        </is>
      </c>
      <c r="K90" s="14" t="inlineStr"/>
      <c r="L90" s="15" t="inlineStr">
        <is>
          <t>Not Executed</t>
        </is>
      </c>
      <c r="M90" s="15" t="inlineStr"/>
      <c r="N90" s="15" t="inlineStr"/>
      <c r="O90" s="15" t="inlineStr"/>
      <c r="P90" s="14" t="inlineStr"/>
    </row>
    <row r="91" ht="30" customHeight="1">
      <c r="A91" s="11" t="inlineStr">
        <is>
          <t>SCH-090</t>
        </is>
      </c>
      <c r="B91" s="12" t="inlineStr">
        <is>
          <t>Audit Log</t>
        </is>
      </c>
      <c r="C91" s="12" t="inlineStr">
        <is>
          <t>Audit Log empty state</t>
        </is>
      </c>
      <c r="D91" s="20" t="inlineStr">
        <is>
          <t>Low</t>
        </is>
      </c>
      <c r="E91" s="12" t="inlineStr">
        <is>
          <t>UI/UX</t>
        </is>
      </c>
      <c r="F91" s="12" t="inlineStr">
        <is>
          <t>A schedule with no audit entries.</t>
        </is>
      </c>
      <c r="G91" s="12" t="inlineStr">
        <is>
          <t>1. Open audit page for it</t>
        </is>
      </c>
      <c r="H91" s="12" t="inlineStr">
        <is>
          <t>N/A</t>
        </is>
      </c>
      <c r="I91" s="12" t="inlineStr">
        <is>
          <t>'No audit log entries found' empty state with history icon.</t>
        </is>
      </c>
      <c r="J91" s="12" t="inlineStr">
        <is>
          <t>GET /schedules/{id}/audit-log</t>
        </is>
      </c>
      <c r="K91" s="14" t="inlineStr"/>
      <c r="L91" s="15" t="inlineStr">
        <is>
          <t>Not Executed</t>
        </is>
      </c>
      <c r="M91" s="15" t="inlineStr"/>
      <c r="N91" s="15" t="inlineStr"/>
      <c r="O91" s="15" t="inlineStr"/>
      <c r="P91" s="14" t="inlineStr"/>
    </row>
    <row r="92" ht="60" customHeight="1">
      <c r="A92" s="11" t="inlineStr">
        <is>
          <t>SCH-091</t>
        </is>
      </c>
      <c r="B92" s="12" t="inlineStr">
        <is>
          <t>Audit Log</t>
        </is>
      </c>
      <c r="C92" s="12" t="inlineStr">
        <is>
          <t>Data integrity: planning actions create matching audit entries</t>
        </is>
      </c>
      <c r="D92" s="13" t="inlineStr">
        <is>
          <t>High</t>
        </is>
      </c>
      <c r="E92" s="12" t="inlineStr">
        <is>
          <t>Data Integrity</t>
        </is>
      </c>
      <c r="F92" s="12" t="inlineStr">
        <is>
          <t>Draft schedule open in another tab.</t>
        </is>
      </c>
      <c r="G92" s="12" t="inlineStr">
        <is>
          <t>1. On the board: add a slot, move it, remove it, then submit
2. Open the Audit Log for that schedule</t>
        </is>
      </c>
      <c r="H92" s="12" t="inlineStr">
        <is>
          <t>N/A</t>
        </is>
      </c>
      <c r="I92" s="12" t="inlineStr">
        <is>
          <t>Audit log contains entries for each action (add/move/remove/submit) with correct actor and patient/day details; ordering newest first.</t>
        </is>
      </c>
      <c r="J92" s="12" t="inlineStr">
        <is>
          <t>GET /schedules/{id}/audit-log</t>
        </is>
      </c>
      <c r="K92" s="14" t="inlineStr"/>
      <c r="L92" s="15" t="inlineStr">
        <is>
          <t>Not Executed</t>
        </is>
      </c>
      <c r="M92" s="15" t="inlineStr"/>
      <c r="N92" s="15" t="inlineStr"/>
      <c r="O92" s="15" t="inlineStr"/>
      <c r="P92" s="14" t="inlineStr"/>
    </row>
    <row r="93" ht="60" customHeight="1">
      <c r="A93" s="16" t="inlineStr">
        <is>
          <t>SCH-092</t>
        </is>
      </c>
      <c r="B93" s="17" t="inlineStr">
        <is>
          <t>On-Call Roster</t>
        </is>
      </c>
      <c r="C93" s="17" t="inlineStr">
        <is>
          <t>On-Call Roster loads list (or empty state)</t>
        </is>
      </c>
      <c r="D93" s="21" t="inlineStr">
        <is>
          <t>High</t>
        </is>
      </c>
      <c r="E93" s="17" t="inlineStr">
        <is>
          <t>Functional</t>
        </is>
      </c>
      <c r="F93" s="17" t="inlineStr">
        <is>
          <t>Logged in; team members exist.</t>
        </is>
      </c>
      <c r="G93" s="17" t="inlineStr">
        <is>
          <t>1. Navigate to /saranam/scheduling/on-call</t>
        </is>
      </c>
      <c r="H93" s="17" t="inlineStr">
        <is>
          <t>N/A</t>
        </is>
      </c>
      <c r="I93" s="17" t="inlineStr">
        <is>
          <t>Header 'On-Call Roster' with Refresh and Add On-Call buttons; a table of Week/Clinician/Phone/Notes/Actions or an empty state with an Add On-Call CTA.</t>
        </is>
      </c>
      <c r="J93" s="17" t="inlineStr">
        <is>
          <t>GET /api/saranam/scheduling/on-call + GET /available-team</t>
        </is>
      </c>
      <c r="K93" s="14" t="inlineStr"/>
      <c r="L93" s="15" t="inlineStr">
        <is>
          <t>Not Executed</t>
        </is>
      </c>
      <c r="M93" s="15" t="inlineStr"/>
      <c r="N93" s="15" t="inlineStr"/>
      <c r="O93" s="15" t="inlineStr"/>
      <c r="P93" s="14" t="inlineStr"/>
    </row>
    <row r="94" ht="90" customHeight="1">
      <c r="A94" s="16" t="inlineStr">
        <is>
          <t>SCH-093</t>
        </is>
      </c>
      <c r="B94" s="17" t="inlineStr">
        <is>
          <t>On-Call Roster</t>
        </is>
      </c>
      <c r="C94" s="17" t="inlineStr">
        <is>
          <t>Add on-call entry with auto week-end calculation</t>
        </is>
      </c>
      <c r="D94" s="21" t="inlineStr">
        <is>
          <t>High</t>
        </is>
      </c>
      <c r="E94" s="17" t="inlineStr">
        <is>
          <t>Functional</t>
        </is>
      </c>
      <c r="F94" s="17" t="inlineStr">
        <is>
          <t>On-Call page open.</t>
        </is>
      </c>
      <c r="G94" s="17" t="inlineStr">
        <is>
          <t>1. Click Add On-Call
2. Pick Week Start Date (week end auto = start+6, disabled field)
3. Select a clinician, enter phone numbers, add notes
4. Click Create</t>
        </is>
      </c>
      <c r="H94" s="17" t="inlineStr">
        <is>
          <t>Start 2026-06-08, clinician 'Dr. Anand', phones '+91 98765 43210, +91 90000 11111'</t>
        </is>
      </c>
      <c r="I94" s="17" t="inlineStr">
        <is>
          <t>Week End auto-fills to 2026-06-14; Create disabled until week_start + clinician set; entry is created and appears in the table with comma-joined phones.</t>
        </is>
      </c>
      <c r="J94" s="17" t="inlineStr">
        <is>
          <t>POST /api/saranam/scheduling/on-call {week_start_date, week_end_date, clinician_user_id, phone_numbers, notes}</t>
        </is>
      </c>
      <c r="K94" s="14" t="inlineStr"/>
      <c r="L94" s="15" t="inlineStr">
        <is>
          <t>Not Executed</t>
        </is>
      </c>
      <c r="M94" s="15" t="inlineStr"/>
      <c r="N94" s="15" t="inlineStr"/>
      <c r="O94" s="15" t="inlineStr"/>
      <c r="P94" s="14" t="inlineStr"/>
    </row>
    <row r="95" ht="45" customHeight="1">
      <c r="A95" s="16" t="inlineStr">
        <is>
          <t>SCH-094</t>
        </is>
      </c>
      <c r="B95" s="17" t="inlineStr">
        <is>
          <t>On-Call Roster</t>
        </is>
      </c>
      <c r="C95" s="17" t="inlineStr">
        <is>
          <t>Edit an on-call entry</t>
        </is>
      </c>
      <c r="D95" s="18" t="inlineStr">
        <is>
          <t>Medium</t>
        </is>
      </c>
      <c r="E95" s="17" t="inlineStr">
        <is>
          <t>Functional</t>
        </is>
      </c>
      <c r="F95" s="17" t="inlineStr">
        <is>
          <t>An on-call entry exists.</t>
        </is>
      </c>
      <c r="G95" s="17" t="inlineStr">
        <is>
          <t>1. Click the pencil, change clinician/phones/notes, click Update</t>
        </is>
      </c>
      <c r="H95" s="17" t="inlineStr">
        <is>
          <t>Change phone list</t>
        </is>
      </c>
      <c r="I95" s="17" t="inlineStr">
        <is>
          <t>Dialog pre-fills existing values; Update saves and the row reflects changes. 404 if the entry no longer exists.</t>
        </is>
      </c>
      <c r="J95" s="17" t="inlineStr">
        <is>
          <t>PUT /api/saranam/scheduling/on-call/{id}</t>
        </is>
      </c>
      <c r="K95" s="14" t="inlineStr"/>
      <c r="L95" s="15" t="inlineStr">
        <is>
          <t>Not Executed</t>
        </is>
      </c>
      <c r="M95" s="15" t="inlineStr"/>
      <c r="N95" s="15" t="inlineStr"/>
      <c r="O95" s="15" t="inlineStr"/>
      <c r="P95" s="14" t="inlineStr"/>
    </row>
    <row r="96" ht="60" customHeight="1">
      <c r="A96" s="16" t="inlineStr">
        <is>
          <t>SCH-095</t>
        </is>
      </c>
      <c r="B96" s="17" t="inlineStr">
        <is>
          <t>On-Call Roster</t>
        </is>
      </c>
      <c r="C96" s="17" t="inlineStr">
        <is>
          <t>Delete an on-call entry with confirmation</t>
        </is>
      </c>
      <c r="D96" s="18" t="inlineStr">
        <is>
          <t>Medium</t>
        </is>
      </c>
      <c r="E96" s="17" t="inlineStr">
        <is>
          <t>Functional</t>
        </is>
      </c>
      <c r="F96" s="17" t="inlineStr">
        <is>
          <t>An on-call entry exists.</t>
        </is>
      </c>
      <c r="G96" s="17" t="inlineStr">
        <is>
          <t>1. Click the red trash icon
2. Confirm the deletion dialog</t>
        </is>
      </c>
      <c r="H96" s="17" t="inlineStr">
        <is>
          <t>N/A</t>
        </is>
      </c>
      <c r="I96" s="17" t="inlineStr">
        <is>
          <t>On confirm the entry is deleted and the list refreshes without it; cancel keeps it. On error an alert 'Failed to delete on-call entry'.</t>
        </is>
      </c>
      <c r="J96" s="17" t="inlineStr">
        <is>
          <t>DELETE /api/saranam/scheduling/on-call/{id}</t>
        </is>
      </c>
      <c r="K96" s="14" t="inlineStr"/>
      <c r="L96" s="15" t="inlineStr">
        <is>
          <t>Not Executed</t>
        </is>
      </c>
      <c r="M96" s="15" t="inlineStr"/>
      <c r="N96" s="15" t="inlineStr"/>
      <c r="O96" s="15" t="inlineStr"/>
      <c r="P96" s="14" t="inlineStr"/>
    </row>
    <row r="97" ht="105" customHeight="1">
      <c r="A97" s="11" t="inlineStr">
        <is>
          <t>SCH-096</t>
        </is>
      </c>
      <c r="B97" s="12" t="inlineStr">
        <is>
          <t>Unscheduled Alerts</t>
        </is>
      </c>
      <c r="C97" s="12" t="inlineStr">
        <is>
          <t>Alerts page lists overdue patients sorted by days overdue</t>
        </is>
      </c>
      <c r="D97" s="13" t="inlineStr">
        <is>
          <t>High</t>
        </is>
      </c>
      <c r="E97" s="12" t="inlineStr">
        <is>
          <t>Functional</t>
        </is>
      </c>
      <c r="F97" s="12" t="inlineStr">
        <is>
          <t>Patients exceeding the visit-gap threshold and not scheduled this week.</t>
        </is>
      </c>
      <c r="G97" s="12" t="inlineStr">
        <is>
          <t>1. Navigate to /saranam/scheduling/alerts</t>
        </is>
      </c>
      <c r="H97" s="12" t="inlineStr">
        <is>
          <t>N/A</t>
        </is>
      </c>
      <c r="I97" s="12" t="inlineStr">
        <is>
          <t>Header 'Unscheduled Patient Alerts'; an orange count banner 'N patients need attention'; alert cards (sorted most overdue first) showing name, BSC/Onco badges, priority, last-visit days, frequency, cluster, and a days-overdue badge with severity colour.</t>
        </is>
      </c>
      <c r="J97" s="12" t="inlineStr">
        <is>
          <t>GET /api/saranam/scheduling/alerts/unscheduled</t>
        </is>
      </c>
      <c r="K97" s="14" t="inlineStr"/>
      <c r="L97" s="15" t="inlineStr">
        <is>
          <t>Not Executed</t>
        </is>
      </c>
      <c r="M97" s="15" t="inlineStr"/>
      <c r="N97" s="15" t="inlineStr"/>
      <c r="O97" s="15" t="inlineStr"/>
      <c r="P97" s="14" t="inlineStr"/>
    </row>
    <row r="98" ht="60" customHeight="1">
      <c r="A98" s="11" t="inlineStr">
        <is>
          <t>SCH-097</t>
        </is>
      </c>
      <c r="B98" s="12" t="inlineStr">
        <is>
          <t>Unscheduled Alerts</t>
        </is>
      </c>
      <c r="C98" s="12" t="inlineStr">
        <is>
          <t>Alerts all-clear empty state + Refresh</t>
        </is>
      </c>
      <c r="D98" s="19" t="inlineStr">
        <is>
          <t>Medium</t>
        </is>
      </c>
      <c r="E98" s="12" t="inlineStr">
        <is>
          <t>UI/UX</t>
        </is>
      </c>
      <c r="F98" s="12" t="inlineStr">
        <is>
          <t>No overdue/unscheduled patients (all scheduled).</t>
        </is>
      </c>
      <c r="G98" s="12" t="inlineStr">
        <is>
          <t>1. Open alerts page
2. Click Refresh</t>
        </is>
      </c>
      <c r="H98" s="12" t="inlineStr">
        <is>
          <t>N/A</t>
        </is>
      </c>
      <c r="I98" s="12" t="inlineStr">
        <is>
          <t>Green 'All patients are scheduled - no alerts' card shown; Refresh re-fetches. Severity colours: &gt;=14d red, &gt;=7d orange, &gt;=3d yellow.</t>
        </is>
      </c>
      <c r="J98" s="12" t="inlineStr">
        <is>
          <t>GET /alerts/unscheduled</t>
        </is>
      </c>
      <c r="K98" s="14" t="inlineStr"/>
      <c r="L98" s="15" t="inlineStr">
        <is>
          <t>Not Executed</t>
        </is>
      </c>
      <c r="M98" s="15" t="inlineStr"/>
      <c r="N98" s="15" t="inlineStr"/>
      <c r="O98" s="15" t="inlineStr"/>
      <c r="P98" s="14" t="inlineStr"/>
    </row>
    <row r="99" ht="90" customHeight="1">
      <c r="A99" s="16" t="inlineStr">
        <is>
          <t>SCH-098</t>
        </is>
      </c>
      <c r="B99" s="17" t="inlineStr">
        <is>
          <t>ScheduleDayMap</t>
        </is>
      </c>
      <c r="C99" s="17" t="inlineStr">
        <is>
          <t>Map renders hospital pins, patient markers and per-vehicle routes</t>
        </is>
      </c>
      <c r="D99" s="21" t="inlineStr">
        <is>
          <t>High</t>
        </is>
      </c>
      <c r="E99" s="17" t="inlineStr">
        <is>
          <t>Functional</t>
        </is>
      </c>
      <c r="F99" s="17" t="inlineStr">
        <is>
          <t>Google Maps key configured; day with GPS patients across two vehicles.</t>
        </is>
      </c>
      <c r="G99" s="17" t="inlineStr">
        <is>
          <t>1. Open the board/active-visits map for a day with multi-vehicle GPS patients</t>
        </is>
      </c>
      <c r="H99" s="17" t="inlineStr">
        <is>
          <t>N/A</t>
        </is>
      </c>
      <c r="I99" s="17" t="inlineStr">
        <is>
          <t>Hospital pins (K, KC) always render; numbered patient markers per vehicle in distinct colours; coloured road polylines via Directions API with per-leg km/time labels; header total km + drive time; per-vehicle route summary and legend.</t>
        </is>
      </c>
      <c r="J99" s="17" t="inlineStr">
        <is>
          <t>Google Maps JS Directions + patientsApi.getZoneBoundaries (zone overlay)</t>
        </is>
      </c>
      <c r="K99" s="14" t="inlineStr"/>
      <c r="L99" s="15" t="inlineStr">
        <is>
          <t>Not Executed</t>
        </is>
      </c>
      <c r="M99" s="15" t="inlineStr"/>
      <c r="N99" s="15" t="inlineStr"/>
      <c r="O99" s="15" t="inlineStr"/>
      <c r="P99" s="14" t="inlineStr"/>
    </row>
    <row r="100" ht="90" customHeight="1">
      <c r="A100" s="16" t="inlineStr">
        <is>
          <t>SCH-099</t>
        </is>
      </c>
      <c r="B100" s="17" t="inlineStr">
        <is>
          <t>ScheduleDayMap</t>
        </is>
      </c>
      <c r="C100" s="17" t="inlineStr">
        <is>
          <t>Map geocodes address-only patients and flags location-less patients</t>
        </is>
      </c>
      <c r="D100" s="18" t="inlineStr">
        <is>
          <t>Medium</t>
        </is>
      </c>
      <c r="E100" s="17" t="inlineStr">
        <is>
          <t>Edge Case</t>
        </is>
      </c>
      <c r="F100" s="17" t="inlineStr">
        <is>
          <t>Mix of GPS patients, address-only patients, and one with neither GPS nor address.</t>
        </is>
      </c>
      <c r="G100" s="17" t="inlineStr">
        <is>
          <t>1. Open the map for that day</t>
        </is>
      </c>
      <c r="H100" s="17" t="inlineStr">
        <is>
          <t>N/A</t>
        </is>
      </c>
      <c r="I100" s="17" t="inlineStr">
        <is>
          <t>Address-only patients are geocoded (header shows 'N geocoded from address', marker info window notes 'approx.'); patients with no GPS and no address show 'N without location &amp; address' in red and are excluded from the route.</t>
        </is>
      </c>
      <c r="J100" s="17" t="inlineStr">
        <is>
          <t>Google Geocoder</t>
        </is>
      </c>
      <c r="K100" s="14" t="inlineStr"/>
      <c r="L100" s="15" t="inlineStr">
        <is>
          <t>Not Executed</t>
        </is>
      </c>
      <c r="M100" s="15" t="inlineStr"/>
      <c r="N100" s="15" t="inlineStr"/>
      <c r="O100" s="15" t="inlineStr"/>
      <c r="P100" s="14" t="inlineStr"/>
    </row>
    <row r="101" ht="75" customHeight="1">
      <c r="A101" s="16" t="inlineStr">
        <is>
          <t>SCH-100</t>
        </is>
      </c>
      <c r="B101" s="17" t="inlineStr">
        <is>
          <t>ScheduleDayMap</t>
        </is>
      </c>
      <c r="C101" s="17" t="inlineStr">
        <is>
          <t>Map empty state and missing Google key handling</t>
        </is>
      </c>
      <c r="D101" s="22" t="inlineStr">
        <is>
          <t>Low</t>
        </is>
      </c>
      <c r="E101" s="17" t="inlineStr">
        <is>
          <t>Edge Case</t>
        </is>
      </c>
      <c r="F101" s="17" t="inlineStr">
        <is>
          <t>A day with no slots; separately an environment without a Maps key.</t>
        </is>
      </c>
      <c r="G101" s="17" t="inlineStr">
        <is>
          <t>1. Open the map for an empty day
2. Open a day's map when VITE_GOOGLE_MAPS_KEY is unset</t>
        </is>
      </c>
      <c r="H101" s="17" t="inlineStr">
        <is>
          <t>N/A</t>
        </is>
      </c>
      <c r="I101" s="17" t="inlineStr">
        <is>
          <t>Empty day shows 'No patients scheduled' overlay. Without a Maps key the map fails to load and shows 'Loading map...'/blank rather than crashing the page (log as a defect/environment note).</t>
        </is>
      </c>
      <c r="J101" s="17" t="inlineStr">
        <is>
          <t>Google Maps JS</t>
        </is>
      </c>
      <c r="K101" s="14" t="inlineStr"/>
      <c r="L101" s="15" t="inlineStr">
        <is>
          <t>Not Executed</t>
        </is>
      </c>
      <c r="M101" s="15" t="inlineStr"/>
      <c r="N101" s="15" t="inlineStr"/>
      <c r="O101" s="15" t="inlineStr"/>
      <c r="P101" s="14" t="inlineStr"/>
    </row>
    <row r="102" ht="45" customHeight="1">
      <c r="A102" s="11" t="inlineStr">
        <is>
          <t>SCH-101</t>
        </is>
      </c>
      <c r="B102" s="12" t="inlineStr">
        <is>
          <t>Permissions &amp; Session</t>
        </is>
      </c>
      <c r="C102" s="12" t="inlineStr">
        <is>
          <t>Unauthenticated access redirects to login</t>
        </is>
      </c>
      <c r="D102" s="13" t="inlineStr">
        <is>
          <t>High</t>
        </is>
      </c>
      <c r="E102" s="12" t="inlineStr">
        <is>
          <t>Permission</t>
        </is>
      </c>
      <c r="F102" s="12" t="inlineStr">
        <is>
          <t>No valid session (clear localStorage tokens).</t>
        </is>
      </c>
      <c r="G102" s="12" t="inlineStr">
        <is>
          <t>1. Clear access_token/refresh_token
2. Navigate to /saranam/scheduling (and a deep route like /board/:id)</t>
        </is>
      </c>
      <c r="H102" s="12" t="inlineStr">
        <is>
          <t>N/A</t>
        </is>
      </c>
      <c r="I102" s="12" t="inlineStr">
        <is>
          <t>ProtectedRoute redirects to /login; no scheduling data is loaded.</t>
        </is>
      </c>
      <c r="J102" s="12" t="inlineStr">
        <is>
          <t>N/A (route guard)</t>
        </is>
      </c>
      <c r="K102" s="14" t="inlineStr"/>
      <c r="L102" s="15" t="inlineStr">
        <is>
          <t>Not Executed</t>
        </is>
      </c>
      <c r="M102" s="15" t="inlineStr"/>
      <c r="N102" s="15" t="inlineStr"/>
      <c r="O102" s="15" t="inlineStr"/>
      <c r="P102" s="14" t="inlineStr"/>
    </row>
    <row r="103" ht="75" customHeight="1">
      <c r="A103" s="11" t="inlineStr">
        <is>
          <t>SCH-102</t>
        </is>
      </c>
      <c r="B103" s="12" t="inlineStr">
        <is>
          <t>Permissions &amp; Session</t>
        </is>
      </c>
      <c r="C103" s="12" t="inlineStr">
        <is>
          <t>Expired access token triggers refresh then retry</t>
        </is>
      </c>
      <c r="D103" s="13" t="inlineStr">
        <is>
          <t>High</t>
        </is>
      </c>
      <c r="E103" s="12" t="inlineStr">
        <is>
          <t>Permission</t>
        </is>
      </c>
      <c r="F103" s="12" t="inlineStr">
        <is>
          <t>Valid refresh_token but expired access_token.</t>
        </is>
      </c>
      <c r="G103" s="12" t="inlineStr">
        <is>
          <t>1. With an expired access token, perform an action that calls a scheduling API (e.g. open the calendar)</t>
        </is>
      </c>
      <c r="H103" s="12" t="inlineStr">
        <is>
          <t>N/A</t>
        </is>
      </c>
      <c r="I103" s="12" t="inlineStr">
        <is>
          <t>Axios interceptor catches 401, POSTs /auth/refresh, stores a new access_token and transparently retries the original request; data loads without a visible login redirect.</t>
        </is>
      </c>
      <c r="J103" s="12" t="inlineStr">
        <is>
          <t>POST /api/auth/refresh then retry original</t>
        </is>
      </c>
      <c r="K103" s="14" t="inlineStr"/>
      <c r="L103" s="15" t="inlineStr">
        <is>
          <t>Not Executed</t>
        </is>
      </c>
      <c r="M103" s="15" t="inlineStr"/>
      <c r="N103" s="15" t="inlineStr"/>
      <c r="O103" s="15" t="inlineStr"/>
      <c r="P103" s="14" t="inlineStr"/>
    </row>
    <row r="104" ht="45" customHeight="1">
      <c r="A104" s="11" t="inlineStr">
        <is>
          <t>SCH-103</t>
        </is>
      </c>
      <c r="B104" s="12" t="inlineStr">
        <is>
          <t>Permissions &amp; Session</t>
        </is>
      </c>
      <c r="C104" s="12" t="inlineStr">
        <is>
          <t>Refresh failure logs out to login</t>
        </is>
      </c>
      <c r="D104" s="13" t="inlineStr">
        <is>
          <t>High</t>
        </is>
      </c>
      <c r="E104" s="12" t="inlineStr">
        <is>
          <t>Permission</t>
        </is>
      </c>
      <c r="F104" s="12" t="inlineStr">
        <is>
          <t>Expired access token AND invalid/expired refresh token.</t>
        </is>
      </c>
      <c r="G104" s="12" t="inlineStr">
        <is>
          <t>1. With both tokens invalid, trigger any scheduling API call</t>
        </is>
      </c>
      <c r="H104" s="12" t="inlineStr">
        <is>
          <t>N/A</t>
        </is>
      </c>
      <c r="I104" s="12" t="inlineStr">
        <is>
          <t>Refresh fails; access_token/refresh_token/user are cleared from localStorage and the app redirects to /login.</t>
        </is>
      </c>
      <c r="J104" s="12" t="inlineStr">
        <is>
          <t>POST /api/auth/refresh -&gt; failure</t>
        </is>
      </c>
      <c r="K104" s="14" t="inlineStr"/>
      <c r="L104" s="15" t="inlineStr">
        <is>
          <t>Not Executed</t>
        </is>
      </c>
      <c r="M104" s="15" t="inlineStr"/>
      <c r="N104" s="15" t="inlineStr"/>
      <c r="O104" s="15" t="inlineStr"/>
      <c r="P104" s="14" t="inlineStr"/>
    </row>
    <row r="105" ht="75" customHeight="1">
      <c r="A105" s="11" t="inlineStr">
        <is>
          <t>SCH-104</t>
        </is>
      </c>
      <c r="B105" s="12" t="inlineStr">
        <is>
          <t>Permissions &amp; Session</t>
        </is>
      </c>
      <c r="C105" s="12" t="inlineStr">
        <is>
          <t>Any authenticated user can submit and approve (no role separation) - governance check</t>
        </is>
      </c>
      <c r="D105" s="19" t="inlineStr">
        <is>
          <t>Medium</t>
        </is>
      </c>
      <c r="E105" s="12" t="inlineStr">
        <is>
          <t>Permission</t>
        </is>
      </c>
      <c r="F105" s="12" t="inlineStr">
        <is>
          <t>Logged in as a non-admin clinician user.</t>
        </is>
      </c>
      <c r="G105" s="12" t="inlineStr">
        <is>
          <t>1. Create/open a draft, Submit for Approval, then Approve the same schedule</t>
        </is>
      </c>
      <c r="H105" s="12" t="inlineStr">
        <is>
          <t>N/A</t>
        </is>
      </c>
      <c r="I105" s="12" t="inlineStr">
        <is>
          <t>Both actions succeed for the same user (no enforced approver role in code). FLAG to client/PM: confirm whether self-approval / role separation must be enforced before go-live; record as a governance finding.</t>
        </is>
      </c>
      <c r="J105" s="12" t="inlineStr">
        <is>
          <t>POST /schedules/{id}/submit then /approve</t>
        </is>
      </c>
      <c r="K105" s="14" t="inlineStr"/>
      <c r="L105" s="15" t="inlineStr">
        <is>
          <t>Not Executed</t>
        </is>
      </c>
      <c r="M105" s="15" t="inlineStr"/>
      <c r="N105" s="15" t="inlineStr"/>
      <c r="O105" s="15" t="inlineStr"/>
      <c r="P105" s="14" t="inlineStr"/>
    </row>
    <row r="106" ht="75" customHeight="1">
      <c r="A106" s="16" t="inlineStr">
        <is>
          <t>SCH-105</t>
        </is>
      </c>
      <c r="B106" s="17" t="inlineStr">
        <is>
          <t>Validation &amp; Negative</t>
        </is>
      </c>
      <c r="C106" s="17" t="inlineStr">
        <is>
          <t>Scheduling for a past week is permitted by the date picker</t>
        </is>
      </c>
      <c r="D106" s="18" t="inlineStr">
        <is>
          <t>Medium</t>
        </is>
      </c>
      <c r="E106" s="17" t="inlineStr">
        <is>
          <t>Edge Case</t>
        </is>
      </c>
      <c r="F106" s="17" t="inlineStr">
        <is>
          <t>Today is 2026-06-01.</t>
        </is>
      </c>
      <c r="G106" s="17" t="inlineStr">
        <is>
          <t>1. New Schedule -&gt; pick a past week start (2026-05-04) -&gt; Create</t>
        </is>
      </c>
      <c r="H106" s="17" t="inlineStr">
        <is>
          <t>Week start 2026-05-04</t>
        </is>
      </c>
      <c r="I106" s="17" t="inlineStr">
        <is>
          <t>Document actual behaviour: the date field has no min so a past week can be entered; verify backend accepts or rejects (ValueError -&gt; 400). If it creates a past-dated schedule, flag whether that is desired.</t>
        </is>
      </c>
      <c r="J106" s="17" t="inlineStr">
        <is>
          <t>POST /schedules {week_start_date}</t>
        </is>
      </c>
      <c r="K106" s="14" t="inlineStr"/>
      <c r="L106" s="15" t="inlineStr">
        <is>
          <t>Not Executed</t>
        </is>
      </c>
      <c r="M106" s="15" t="inlineStr"/>
      <c r="N106" s="15" t="inlineStr"/>
      <c r="O106" s="15" t="inlineStr"/>
      <c r="P106" s="14" t="inlineStr"/>
    </row>
    <row r="107" ht="60" customHeight="1">
      <c r="A107" s="16" t="inlineStr">
        <is>
          <t>SCH-106</t>
        </is>
      </c>
      <c r="B107" s="17" t="inlineStr">
        <is>
          <t>Validation &amp; Negative</t>
        </is>
      </c>
      <c r="C107" s="17" t="inlineStr">
        <is>
          <t>Add slot without patient_id rejected</t>
        </is>
      </c>
      <c r="D107" s="18" t="inlineStr">
        <is>
          <t>Medium</t>
        </is>
      </c>
      <c r="E107" s="17" t="inlineStr">
        <is>
          <t>Negative</t>
        </is>
      </c>
      <c r="F107" s="17" t="inlineStr">
        <is>
          <t>Draft schedule day.</t>
        </is>
      </c>
      <c r="G107" s="17" t="inlineStr">
        <is>
          <t>1. Force an add-slot request with no patient_id (e.g. via API or by submitting an empty modal selection)</t>
        </is>
      </c>
      <c r="H107" s="17" t="inlineStr">
        <is>
          <t>Missing patient_id</t>
        </is>
      </c>
      <c r="I107" s="17" t="inlineStr">
        <is>
          <t>Backend returns 400 'patient_id is required'; UI Add to Schedule stays disabled so the empty case is not normally reachable from the UI.</t>
        </is>
      </c>
      <c r="J107" s="17" t="inlineStr">
        <is>
          <t>POST /days/{dayId}/slots -&gt; 400</t>
        </is>
      </c>
      <c r="K107" s="14" t="inlineStr"/>
      <c r="L107" s="15" t="inlineStr">
        <is>
          <t>Not Executed</t>
        </is>
      </c>
      <c r="M107" s="15" t="inlineStr"/>
      <c r="N107" s="15" t="inlineStr"/>
      <c r="O107" s="15" t="inlineStr"/>
      <c r="P107" s="14" t="inlineStr"/>
    </row>
    <row r="108" ht="30" customHeight="1">
      <c r="A108" s="16" t="inlineStr">
        <is>
          <t>SCH-107</t>
        </is>
      </c>
      <c r="B108" s="17" t="inlineStr">
        <is>
          <t>Validation &amp; Negative</t>
        </is>
      </c>
      <c r="C108" s="17" t="inlineStr">
        <is>
          <t>Move slot without to_day_id rejected</t>
        </is>
      </c>
      <c r="D108" s="22" t="inlineStr">
        <is>
          <t>Low</t>
        </is>
      </c>
      <c r="E108" s="17" t="inlineStr">
        <is>
          <t>Negative</t>
        </is>
      </c>
      <c r="F108" s="17" t="inlineStr">
        <is>
          <t>A slot exists.</t>
        </is>
      </c>
      <c r="G108" s="17" t="inlineStr">
        <is>
          <t>1. Force a move request without to_day_id</t>
        </is>
      </c>
      <c r="H108" s="17" t="inlineStr">
        <is>
          <t>Missing to_day_id</t>
        </is>
      </c>
      <c r="I108" s="17" t="inlineStr">
        <is>
          <t>Backend returns 400 'to_day_id is required'.</t>
        </is>
      </c>
      <c r="J108" s="17" t="inlineStr">
        <is>
          <t>POST /slots/{slotId}/move -&gt; 400</t>
        </is>
      </c>
      <c r="K108" s="14" t="inlineStr"/>
      <c r="L108" s="15" t="inlineStr">
        <is>
          <t>Not Executed</t>
        </is>
      </c>
      <c r="M108" s="15" t="inlineStr"/>
      <c r="N108" s="15" t="inlineStr"/>
      <c r="O108" s="15" t="inlineStr"/>
      <c r="P108" s="14" t="inlineStr"/>
    </row>
    <row r="109" ht="45" customHeight="1">
      <c r="A109" s="16" t="inlineStr">
        <is>
          <t>SCH-108</t>
        </is>
      </c>
      <c r="B109" s="17" t="inlineStr">
        <is>
          <t>Validation &amp; Negative</t>
        </is>
      </c>
      <c r="C109" s="17" t="inlineStr">
        <is>
          <t>Create deviation without type/description rejected</t>
        </is>
      </c>
      <c r="D109" s="18" t="inlineStr">
        <is>
          <t>Medium</t>
        </is>
      </c>
      <c r="E109" s="17" t="inlineStr">
        <is>
          <t>Negative</t>
        </is>
      </c>
      <c r="F109" s="17" t="inlineStr">
        <is>
          <t>Active schedule day.</t>
        </is>
      </c>
      <c r="G109" s="17" t="inlineStr">
        <is>
          <t>1. In Report Deviation leave type or description empty and try to submit</t>
        </is>
      </c>
      <c r="H109" s="17" t="inlineStr">
        <is>
          <t>Missing deviation_type/description</t>
        </is>
      </c>
      <c r="I109" s="17" t="inlineStr">
        <is>
          <t>Submit button disabled until both set; a forced API call returns 400 'deviation_type and description are required'.</t>
        </is>
      </c>
      <c r="J109" s="17" t="inlineStr">
        <is>
          <t>POST /days/{dayId}/deviations -&gt; 400</t>
        </is>
      </c>
      <c r="K109" s="14" t="inlineStr"/>
      <c r="L109" s="15" t="inlineStr">
        <is>
          <t>Not Executed</t>
        </is>
      </c>
      <c r="M109" s="15" t="inlineStr"/>
      <c r="N109" s="15" t="inlineStr"/>
      <c r="O109" s="15" t="inlineStr"/>
      <c r="P109" s="14" t="inlineStr"/>
    </row>
    <row r="110" ht="90" customHeight="1">
      <c r="A110" s="16" t="inlineStr">
        <is>
          <t>SCH-109</t>
        </is>
      </c>
      <c r="B110" s="17" t="inlineStr">
        <is>
          <t>Validation &amp; Negative</t>
        </is>
      </c>
      <c r="C110" s="17" t="inlineStr">
        <is>
          <t>Empty/no-assignment schedule can be submitted (no hard block)</t>
        </is>
      </c>
      <c r="D110" s="18" t="inlineStr">
        <is>
          <t>Medium</t>
        </is>
      </c>
      <c r="E110" s="17" t="inlineStr">
        <is>
          <t>Edge Case</t>
        </is>
      </c>
      <c r="F110" s="17" t="inlineStr">
        <is>
          <t>A draft schedule with zero slots.</t>
        </is>
      </c>
      <c r="G110" s="17" t="inlineStr">
        <is>
          <t>1. Open the empty draft and click Submit for Approval</t>
        </is>
      </c>
      <c r="H110" s="17" t="inlineStr">
        <is>
          <t>N/A</t>
        </is>
      </c>
      <c r="I110" s="17" t="inlineStr">
        <is>
          <t>Validation likely returns warnings about empty days but the Submit action is still available; record whether the backend blocks an empty submit (400) or allows it with warnings, and flag if an empty publish should be prevented.</t>
        </is>
      </c>
      <c r="J110" s="17" t="inlineStr">
        <is>
          <t>GET /schedules/{id}/validate then POST /submit</t>
        </is>
      </c>
      <c r="K110" s="14" t="inlineStr"/>
      <c r="L110" s="15" t="inlineStr">
        <is>
          <t>Not Executed</t>
        </is>
      </c>
      <c r="M110" s="15" t="inlineStr"/>
      <c r="N110" s="15" t="inlineStr"/>
      <c r="O110" s="15" t="inlineStr"/>
      <c r="P110" s="14" t="inlineStr"/>
    </row>
    <row r="111" ht="60" customHeight="1">
      <c r="A111" s="11" t="inlineStr">
        <is>
          <t>SCH-110</t>
        </is>
      </c>
      <c r="B111" s="12" t="inlineStr">
        <is>
          <t>Data Integrity (cross-module)</t>
        </is>
      </c>
      <c r="C111" s="12" t="inlineStr">
        <is>
          <t>Approved schedule visits appear in My Visits / Active Visits</t>
        </is>
      </c>
      <c r="D111" s="13" t="inlineStr">
        <is>
          <t>High</t>
        </is>
      </c>
      <c r="E111" s="12" t="inlineStr">
        <is>
          <t>Data Integrity</t>
        </is>
      </c>
      <c r="F111" s="12" t="inlineStr">
        <is>
          <t>A draft with the test clinician assigned, then approved &amp; activated.</t>
        </is>
      </c>
      <c r="G111" s="12" t="inlineStr">
        <is>
          <t>1. Build a draft assigning the logged-in clinician to slots
2. Submit -&gt; Approve -&gt; Activate
3. Open My Visits and Active Visits</t>
        </is>
      </c>
      <c r="H111" s="12" t="inlineStr">
        <is>
          <t>N/A</t>
        </is>
      </c>
      <c r="I111" s="12" t="inlineStr">
        <is>
          <t>The same patients/days appear under My Visits (for the assigned clinician) and Active Schedule Visits; counts and patient names are consistent with the board.</t>
        </is>
      </c>
      <c r="J111" s="12" t="inlineStr">
        <is>
          <t>GET /my-schedule + GET /schedules + /schedules/{id}</t>
        </is>
      </c>
      <c r="K111" s="14" t="inlineStr"/>
      <c r="L111" s="15" t="inlineStr">
        <is>
          <t>Not Executed</t>
        </is>
      </c>
      <c r="M111" s="15" t="inlineStr"/>
      <c r="N111" s="15" t="inlineStr"/>
      <c r="O111" s="15" t="inlineStr"/>
      <c r="P111" s="14" t="inlineStr"/>
    </row>
    <row r="112" ht="60" customHeight="1">
      <c r="A112" s="11" t="inlineStr">
        <is>
          <t>SCH-111</t>
        </is>
      </c>
      <c r="B112" s="12" t="inlineStr">
        <is>
          <t>Data Integrity (cross-module)</t>
        </is>
      </c>
      <c r="C112" s="12" t="inlineStr">
        <is>
          <t>Completing a visit reflects in Deviation Report and Review metrics</t>
        </is>
      </c>
      <c r="D112" s="13" t="inlineStr">
        <is>
          <t>High</t>
        </is>
      </c>
      <c r="E112" s="12" t="inlineStr">
        <is>
          <t>Data Integrity</t>
        </is>
      </c>
      <c r="F112" s="12" t="inlineStr">
        <is>
          <t>Active schedule with slots.</t>
        </is>
      </c>
      <c r="G112" s="12" t="inlineStr">
        <is>
          <t>1. Mark some visits completed/missed in Active Visits
2. Open the Deviation Report and (after review-ready) the Review Dashboard</t>
        </is>
      </c>
      <c r="H112" s="12" t="inlineStr">
        <is>
          <t>N/A</t>
        </is>
      </c>
      <c r="I112" s="12" t="inlineStr">
        <is>
          <t>Completed/missed counts and compliance % in the Deviation Report match the actions taken; Review metrics (completion rate, missed count) are consistent.</t>
        </is>
      </c>
      <c r="J112" s="12" t="inlineStr">
        <is>
          <t>PUT /slots/{id}; GET /schedules/{id}/deviations; GET /schedules/{id}/review</t>
        </is>
      </c>
      <c r="K112" s="14" t="inlineStr"/>
      <c r="L112" s="15" t="inlineStr">
        <is>
          <t>Not Executed</t>
        </is>
      </c>
      <c r="M112" s="15" t="inlineStr"/>
      <c r="N112" s="15" t="inlineStr"/>
      <c r="O112" s="15" t="inlineStr"/>
      <c r="P112" s="14" t="inlineStr"/>
    </row>
    <row r="113" ht="75" customHeight="1">
      <c r="A113" s="11" t="inlineStr">
        <is>
          <t>SCH-112</t>
        </is>
      </c>
      <c r="B113" s="12" t="inlineStr">
        <is>
          <t>Data Integrity (cross-module)</t>
        </is>
      </c>
      <c r="C113" s="12" t="inlineStr">
        <is>
          <t>Deviations persist and surface in both Active Visits and Deviation Report</t>
        </is>
      </c>
      <c r="D113" s="19" t="inlineStr">
        <is>
          <t>Medium</t>
        </is>
      </c>
      <c r="E113" s="12" t="inlineStr">
        <is>
          <t>Data Integrity</t>
        </is>
      </c>
      <c r="F113" s="12" t="inlineStr">
        <is>
          <t>Active schedule.</t>
        </is>
      </c>
      <c r="G113" s="12" t="inlineStr">
        <is>
          <t>1. Create a deviation from Active Visits
2. Reload Active Visits and open the Deviation Report for the same schedule</t>
        </is>
      </c>
      <c r="H113" s="12" t="inlineStr">
        <is>
          <t>N/A</t>
        </is>
      </c>
      <c r="I113" s="12" t="inlineStr">
        <is>
          <t>The deviation persists and appears in the day's deviation list on Active Visits and under 'Reported Deviations' on the Deviation Report with matching type/description/reporter/time.</t>
        </is>
      </c>
      <c r="J113" s="12" t="inlineStr">
        <is>
          <t>POST /days/{dayId}/deviations; GET /schedules/{id}/deviations</t>
        </is>
      </c>
      <c r="K113" s="14" t="inlineStr"/>
      <c r="L113" s="15" t="inlineStr">
        <is>
          <t>Not Executed</t>
        </is>
      </c>
      <c r="M113" s="15" t="inlineStr"/>
      <c r="N113" s="15" t="inlineStr"/>
      <c r="O113" s="15" t="inlineStr"/>
      <c r="P113" s="14" t="inlineStr"/>
    </row>
    <row r="114" ht="60" customHeight="1">
      <c r="A114" s="11" t="inlineStr">
        <is>
          <t>SCH-113</t>
        </is>
      </c>
      <c r="B114" s="12" t="inlineStr">
        <is>
          <t>Data Integrity (cross-module)</t>
        </is>
      </c>
      <c r="C114" s="12" t="inlineStr">
        <is>
          <t>Scheduling a patient removes them from Unscheduled Alerts for that week</t>
        </is>
      </c>
      <c r="D114" s="19" t="inlineStr">
        <is>
          <t>Medium</t>
        </is>
      </c>
      <c r="E114" s="12" t="inlineStr">
        <is>
          <t>Data Integrity</t>
        </is>
      </c>
      <c r="F114" s="12" t="inlineStr">
        <is>
          <t>An overdue patient appears on the Alerts page; a schedule for that same week exists.</t>
        </is>
      </c>
      <c r="G114" s="12" t="inlineStr">
        <is>
          <t>1. Note an overdue patient on /alerts
2. Add that patient to a slot in the schedule for the same week_start
3. Reopen /alerts (and refresh)</t>
        </is>
      </c>
      <c r="H114" s="12" t="inlineStr">
        <is>
          <t>N/A</t>
        </is>
      </c>
      <c r="I114" s="12" t="inlineStr">
        <is>
          <t>Once scheduled in that week, the patient no longer appears in the unscheduled alerts list (backend excludes patients with a slot in the week).</t>
        </is>
      </c>
      <c r="J114" s="12" t="inlineStr">
        <is>
          <t>POST /days/{dayId}/slots; GET /alerts/unscheduled</t>
        </is>
      </c>
      <c r="K114" s="14" t="inlineStr"/>
      <c r="L114" s="15" t="inlineStr">
        <is>
          <t>Not Executed</t>
        </is>
      </c>
      <c r="M114" s="15" t="inlineStr"/>
      <c r="N114" s="15" t="inlineStr"/>
      <c r="O114" s="15" t="inlineStr"/>
      <c r="P114" s="14" t="inlineStr"/>
    </row>
    <row r="115" ht="60" customHeight="1">
      <c r="A115" s="16" t="inlineStr">
        <is>
          <t>SCH-114</t>
        </is>
      </c>
      <c r="B115" s="17" t="inlineStr">
        <is>
          <t>Notifications &amp; Acknowledgments</t>
        </is>
      </c>
      <c r="C115" s="17" t="inlineStr">
        <is>
          <t>Acknowledgments list reflects clinician acknowledgement</t>
        </is>
      </c>
      <c r="D115" s="18" t="inlineStr">
        <is>
          <t>Medium</t>
        </is>
      </c>
      <c r="E115" s="17" t="inlineStr">
        <is>
          <t>Data Integrity</t>
        </is>
      </c>
      <c r="F115" s="17" t="inlineStr">
        <is>
          <t>An approved schedule acknowledged by the clinician.</t>
        </is>
      </c>
      <c r="G115" s="17" t="inlineStr">
        <is>
          <t>1. Acknowledge from My Visits (SCH-070)
2. View acknowledgments for that schedule (via API / any UI surface that calls it)</t>
        </is>
      </c>
      <c r="H115" s="17" t="inlineStr">
        <is>
          <t>N/A</t>
        </is>
      </c>
      <c r="I115" s="17" t="inlineStr">
        <is>
          <t>The acknowledgments endpoint returns the acknowledging user for that schedule; acknowledged state is consistent with My Visits banner being hidden.</t>
        </is>
      </c>
      <c r="J115" s="17" t="inlineStr">
        <is>
          <t>POST /schedules/{id}/acknowledge; GET /schedules/{id}/acknowledgments</t>
        </is>
      </c>
      <c r="K115" s="14" t="inlineStr"/>
      <c r="L115" s="15" t="inlineStr">
        <is>
          <t>Not Executed</t>
        </is>
      </c>
      <c r="M115" s="15" t="inlineStr"/>
      <c r="N115" s="15" t="inlineStr"/>
      <c r="O115" s="15" t="inlineStr"/>
      <c r="P115" s="14" t="inlineStr"/>
    </row>
    <row r="116" ht="75" customHeight="1">
      <c r="A116" s="11" t="inlineStr">
        <is>
          <t>SCH-115</t>
        </is>
      </c>
      <c r="B116" s="12" t="inlineStr">
        <is>
          <t>Patient Pool</t>
        </is>
      </c>
      <c r="C116" s="12" t="inlineStr">
        <is>
          <t>Recalculate priorities runs on board load (background)</t>
        </is>
      </c>
      <c r="D116" s="20" t="inlineStr">
        <is>
          <t>Low</t>
        </is>
      </c>
      <c r="E116" s="12" t="inlineStr">
        <is>
          <t>Functional</t>
        </is>
      </c>
      <c r="F116" s="12" t="inlineStr">
        <is>
          <t>Open the board.</t>
        </is>
      </c>
      <c r="G116" s="12" t="inlineStr">
        <is>
          <t>1. Open a draft board and inspect network calls</t>
        </is>
      </c>
      <c r="H116" s="12" t="inlineStr">
        <is>
          <t>N/A</t>
        </is>
      </c>
      <c r="I116" s="12" t="inlineStr">
        <is>
          <t>A fire-and-forget POST recalculate-priorities is issued on load; priority scores shown on sidebar cards reflect (possibly next-refresh) recalculated values without blocking the UI.</t>
        </is>
      </c>
      <c r="J116" s="12" t="inlineStr">
        <is>
          <t>POST /api/saranam/scheduling/patient-pool/recalculate-priorities</t>
        </is>
      </c>
      <c r="K116" s="14" t="inlineStr"/>
      <c r="L116" s="15" t="inlineStr">
        <is>
          <t>Not Executed</t>
        </is>
      </c>
      <c r="M116" s="15" t="inlineStr"/>
      <c r="N116" s="15" t="inlineStr"/>
      <c r="O116" s="15" t="inlineStr"/>
      <c r="P116" s="14" t="inlineStr"/>
    </row>
    <row r="117" ht="60" customHeight="1">
      <c r="A117" s="11" t="inlineStr">
        <is>
          <t>SCH-116</t>
        </is>
      </c>
      <c r="B117" s="12" t="inlineStr">
        <is>
          <t>Patient Pool</t>
        </is>
      </c>
      <c r="C117" s="12" t="inlineStr">
        <is>
          <t>Add Patient modal lazy-loads the full patient list</t>
        </is>
      </c>
      <c r="D117" s="20" t="inlineStr">
        <is>
          <t>Low</t>
        </is>
      </c>
      <c r="E117" s="12" t="inlineStr">
        <is>
          <t>Functional</t>
        </is>
      </c>
      <c r="F117" s="12" t="inlineStr">
        <is>
          <t>Draft board.</t>
        </is>
      </c>
      <c r="G117" s="12" t="inlineStr">
        <is>
          <t>1. Open the Add Patient modal for the first time and inspect network</t>
        </is>
      </c>
      <c r="H117" s="12" t="inlineStr">
        <is>
          <t>N/A</t>
        </is>
      </c>
      <c r="I117" s="12" t="inlineStr">
        <is>
          <t>The full patient search (up to 500) is fetched only when the modal first opens; the modal initially falls back to the already-loaded pool and is searchable.</t>
        </is>
      </c>
      <c r="J117" s="12" t="inlineStr">
        <is>
          <t>patientsApi.search('',1,500)</t>
        </is>
      </c>
      <c r="K117" s="14" t="inlineStr"/>
      <c r="L117" s="15" t="inlineStr">
        <is>
          <t>Not Executed</t>
        </is>
      </c>
      <c r="M117" s="15" t="inlineStr"/>
      <c r="N117" s="15" t="inlineStr"/>
      <c r="O117" s="15" t="inlineStr"/>
      <c r="P117" s="14" t="inlineStr"/>
    </row>
    <row r="118" ht="60" customHeight="1">
      <c r="A118" s="16" t="inlineStr">
        <is>
          <t>SCH-117</t>
        </is>
      </c>
      <c r="B118" s="17" t="inlineStr">
        <is>
          <t>Regression / Stability</t>
        </is>
      </c>
      <c r="C118" s="17" t="inlineStr">
        <is>
          <t>Rapid repeated actions do not corrupt schedule state</t>
        </is>
      </c>
      <c r="D118" s="18" t="inlineStr">
        <is>
          <t>Medium</t>
        </is>
      </c>
      <c r="E118" s="17" t="inlineStr">
        <is>
          <t>Edge Case</t>
        </is>
      </c>
      <c r="F118" s="17" t="inlineStr">
        <is>
          <t>Draft board with slots.</t>
        </is>
      </c>
      <c r="G118" s="17" t="inlineStr">
        <is>
          <t>1. Quickly add, move, reorder and remove slots in succession
2. Observe the saving bar and final reloaded state</t>
        </is>
      </c>
      <c r="H118" s="17" t="inlineStr">
        <is>
          <t>N/A</t>
        </is>
      </c>
      <c r="I118" s="17" t="inlineStr">
        <is>
          <t>Each action serialises through the saving indicator and a reload; the final board state matches the last successful action with no duplicated/ghost slots.</t>
        </is>
      </c>
      <c r="J118" s="17" t="inlineStr">
        <is>
          <t>POST /slots; POST /slots/{id}/move; POST /days/{id}/reorder; DELETE /slots/{id}</t>
        </is>
      </c>
      <c r="K118" s="14" t="inlineStr"/>
      <c r="L118" s="15" t="inlineStr">
        <is>
          <t>Not Executed</t>
        </is>
      </c>
      <c r="M118" s="15" t="inlineStr"/>
      <c r="N118" s="15" t="inlineStr"/>
      <c r="O118" s="15" t="inlineStr"/>
      <c r="P118" s="14" t="inlineStr"/>
    </row>
    <row r="119" ht="60" customHeight="1">
      <c r="A119" s="16" t="inlineStr">
        <is>
          <t>SCH-118</t>
        </is>
      </c>
      <c r="B119" s="17" t="inlineStr">
        <is>
          <t>Regression / Stability</t>
        </is>
      </c>
      <c r="C119" s="17" t="inlineStr">
        <is>
          <t>Browser back/forward between scheduling screens preserves data</t>
        </is>
      </c>
      <c r="D119" s="22" t="inlineStr">
        <is>
          <t>Low</t>
        </is>
      </c>
      <c r="E119" s="17" t="inlineStr">
        <is>
          <t>UI/UX</t>
        </is>
      </c>
      <c r="F119" s="17" t="inlineStr">
        <is>
          <t>Logged in.</t>
        </is>
      </c>
      <c r="G119" s="17" t="inlineStr">
        <is>
          <t>1. Calendar -&gt; open a board -&gt; browser Back -&gt; Active Visits -&gt; Back</t>
        </is>
      </c>
      <c r="H119" s="17" t="inlineStr">
        <is>
          <t>N/A</t>
        </is>
      </c>
      <c r="I119" s="17" t="inlineStr">
        <is>
          <t>Each screen reloads its own data cleanly on navigation; no stale data leaks between schedules; tab selection on the calendar is preserved per the URL/state.</t>
        </is>
      </c>
      <c r="J119" s="17" t="inlineStr">
        <is>
          <t>N/A</t>
        </is>
      </c>
      <c r="K119" s="14" t="inlineStr"/>
      <c r="L119" s="15" t="inlineStr">
        <is>
          <t>Not Executed</t>
        </is>
      </c>
      <c r="M119" s="15" t="inlineStr"/>
      <c r="N119" s="15" t="inlineStr"/>
      <c r="O119" s="15" t="inlineStr"/>
      <c r="P119" s="14" t="inlineStr"/>
    </row>
  </sheetData>
  <autoFilter ref="A1:P119"/>
  <conditionalFormatting sqref="L2:L11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119" showDropDown="0" showInputMessage="0" showErrorMessage="0" allowBlank="1" type="list">
      <formula1>"Not Executed,Pass,Fail,Blocked,N/A"</formula1>
    </dataValidation>
    <dataValidation sqref="M2:M119"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135" customHeight="1">
      <c r="A2" s="11" t="inlineStr">
        <is>
          <t>PRV-001</t>
        </is>
      </c>
      <c r="B2" s="12" t="inlineStr">
        <is>
          <t>Providers List</t>
        </is>
      </c>
      <c r="C2" s="12" t="inlineStr">
        <is>
          <t>Providers list loads with default Active filter on first visit</t>
        </is>
      </c>
      <c r="D2" s="13" t="inlineStr">
        <is>
          <t>High</t>
        </is>
      </c>
      <c r="E2" s="12" t="inlineStr">
        <is>
          <t>Functional</t>
        </is>
      </c>
      <c r="F2" s="12" t="inlineStr">
        <is>
          <t>Logged in. At least 5 active providers exist.</t>
        </is>
      </c>
      <c r="G2" s="12" t="inlineStr">
        <is>
          <t>1. Navigate to /providers.
2. Observe the page header 'Healthcare Providers' and subtitle.
3. Wait for the providers to load.</t>
        </is>
      </c>
      <c r="H2" s="12" t="inlineStr">
        <is>
          <t>N/A</t>
        </is>
      </c>
      <c r="I2" s="12" t="inlineStr">
        <is>
          <t>Page header and 'Add Provider' button render. A brief loading spinner ('Loading providers...') may appear, then a responsive card grid of ACTIVE providers (status filter defaults to 'Active'). The count line 'Showing N provider(s)' matches the number of cards. Each card shows full_name, specialization, an Active badge, and any of license/email/phone present.</t>
        </is>
      </c>
      <c r="J2" s="12" t="inlineStr">
        <is>
          <t>GET /api/providers (is_active=true, limit=100); GET /api/providers/specializations</t>
        </is>
      </c>
      <c r="K2" s="14" t="inlineStr"/>
      <c r="L2" s="15" t="inlineStr">
        <is>
          <t>Not Executed</t>
        </is>
      </c>
      <c r="M2" s="15" t="inlineStr"/>
      <c r="N2" s="15" t="inlineStr"/>
      <c r="O2" s="15" t="inlineStr"/>
      <c r="P2" s="14" t="inlineStr"/>
    </row>
    <row r="3" ht="60" customHeight="1">
      <c r="A3" s="11" t="inlineStr">
        <is>
          <t>PRV-002</t>
        </is>
      </c>
      <c r="B3" s="12" t="inlineStr">
        <is>
          <t>Providers List</t>
        </is>
      </c>
      <c r="C3" s="12" t="inlineStr">
        <is>
          <t>Specialization filter dropdown is populated from API</t>
        </is>
      </c>
      <c r="D3" s="19" t="inlineStr">
        <is>
          <t>Medium</t>
        </is>
      </c>
      <c r="E3" s="12" t="inlineStr">
        <is>
          <t>Functional</t>
        </is>
      </c>
      <c r="F3" s="12" t="inlineStr">
        <is>
          <t>Logged in. Specializations exist in system.</t>
        </is>
      </c>
      <c r="G3" s="12" t="inlineStr">
        <is>
          <t>1. Open /providers.
2. Open the Specialization dropdown.</t>
        </is>
      </c>
      <c r="H3" s="12" t="inlineStr">
        <is>
          <t>N/A</t>
        </is>
      </c>
      <c r="I3" s="12" t="inlineStr">
        <is>
          <t>Dropdown lists 'All Specializations' first, followed by each specialization returned by GET /providers/specializations. No duplicates or blank entries.</t>
        </is>
      </c>
      <c r="J3" s="12" t="inlineStr">
        <is>
          <t>GET /api/providers/specializations</t>
        </is>
      </c>
      <c r="K3" s="14" t="inlineStr"/>
      <c r="L3" s="15" t="inlineStr">
        <is>
          <t>Not Executed</t>
        </is>
      </c>
      <c r="M3" s="15" t="inlineStr"/>
      <c r="N3" s="15" t="inlineStr"/>
      <c r="O3" s="15" t="inlineStr"/>
      <c r="P3" s="14" t="inlineStr"/>
    </row>
    <row r="4" ht="75" customHeight="1">
      <c r="A4" s="11" t="inlineStr">
        <is>
          <t>PRV-003</t>
        </is>
      </c>
      <c r="B4" s="12" t="inlineStr">
        <is>
          <t>Providers List</t>
        </is>
      </c>
      <c r="C4" s="12" t="inlineStr">
        <is>
          <t>Search filters providers by name/license/HPR ID</t>
        </is>
      </c>
      <c r="D4" s="13" t="inlineStr">
        <is>
          <t>High</t>
        </is>
      </c>
      <c r="E4" s="12" t="inlineStr">
        <is>
          <t>Functional</t>
        </is>
      </c>
      <c r="F4" s="12" t="inlineStr">
        <is>
          <t>Logged in. A provider named like 'Dr. Anjali Rao' exists.</t>
        </is>
      </c>
      <c r="G4" s="12" t="inlineStr">
        <is>
          <t>1. Open /providers.
2. Type 'Anjali' into the Search field.
3. Observe the list updating as you type.</t>
        </is>
      </c>
      <c r="H4" s="12" t="inlineStr">
        <is>
          <t>Search: Anjali</t>
        </is>
      </c>
      <c r="I4" s="12" t="inlineStr">
        <is>
          <t>List re-queries on each keystroke (useEffect on searchQuery) and shows only matching providers. Count line updates accordingly. A network call to GET /providers with search=Anjali is sent.</t>
        </is>
      </c>
      <c r="J4" s="12" t="inlineStr">
        <is>
          <t>GET /api/providers (search=Anjali)</t>
        </is>
      </c>
      <c r="K4" s="14" t="inlineStr"/>
      <c r="L4" s="15" t="inlineStr">
        <is>
          <t>Not Executed</t>
        </is>
      </c>
      <c r="M4" s="15" t="inlineStr"/>
      <c r="N4" s="15" t="inlineStr"/>
      <c r="O4" s="15" t="inlineStr"/>
      <c r="P4" s="14" t="inlineStr"/>
    </row>
    <row r="5" ht="75" customHeight="1">
      <c r="A5" s="11" t="inlineStr">
        <is>
          <t>PRV-004</t>
        </is>
      </c>
      <c r="B5" s="12" t="inlineStr">
        <is>
          <t>Providers List</t>
        </is>
      </c>
      <c r="C5" s="12" t="inlineStr">
        <is>
          <t>Search with no matches shows search-specific empty state</t>
        </is>
      </c>
      <c r="D5" s="19" t="inlineStr">
        <is>
          <t>Medium</t>
        </is>
      </c>
      <c r="E5" s="12" t="inlineStr">
        <is>
          <t>UI/UX</t>
        </is>
      </c>
      <c r="F5" s="12" t="inlineStr">
        <is>
          <t>Logged in.</t>
        </is>
      </c>
      <c r="G5" s="12" t="inlineStr">
        <is>
          <t>1. Open /providers.
2. Type a string that matches no provider, e.g. 'zzzzzzzz'.
3. Observe the result area.</t>
        </is>
      </c>
      <c r="H5" s="12" t="inlineStr">
        <is>
          <t>Search: zzzzzzzz</t>
        </is>
      </c>
      <c r="I5" s="12" t="inlineStr">
        <is>
          <t>Empty-state card appears with stethoscope icon, heading 'No providers found' and the search-specific message 'No providers match your search criteria.' plus an 'Add Provider' button.</t>
        </is>
      </c>
      <c r="J5" s="12" t="inlineStr">
        <is>
          <t>GET /api/providers (search=zzzzzzzz)</t>
        </is>
      </c>
      <c r="K5" s="14" t="inlineStr"/>
      <c r="L5" s="15" t="inlineStr">
        <is>
          <t>Not Executed</t>
        </is>
      </c>
      <c r="M5" s="15" t="inlineStr"/>
      <c r="N5" s="15" t="inlineStr"/>
      <c r="O5" s="15" t="inlineStr"/>
      <c r="P5" s="14" t="inlineStr"/>
    </row>
    <row r="6" ht="60" customHeight="1">
      <c r="A6" s="11" t="inlineStr">
        <is>
          <t>PRV-005</t>
        </is>
      </c>
      <c r="B6" s="12" t="inlineStr">
        <is>
          <t>Providers List</t>
        </is>
      </c>
      <c r="C6" s="12" t="inlineStr">
        <is>
          <t>Filter by a specific specialization</t>
        </is>
      </c>
      <c r="D6" s="13" t="inlineStr">
        <is>
          <t>High</t>
        </is>
      </c>
      <c r="E6" s="12" t="inlineStr">
        <is>
          <t>Functional</t>
        </is>
      </c>
      <c r="F6" s="12" t="inlineStr">
        <is>
          <t>Logged in. Providers with at least two distinct specializations exist.</t>
        </is>
      </c>
      <c r="G6" s="12" t="inlineStr">
        <is>
          <t>1. Open /providers.
2. Select a specific specialization (e.g., 'Oncology') from the Specialization dropdown.</t>
        </is>
      </c>
      <c r="H6" s="12" t="inlineStr">
        <is>
          <t>Specialization: Oncology</t>
        </is>
      </c>
      <c r="I6" s="12" t="inlineStr">
        <is>
          <t>List refreshes to show only providers whose specialization matches the selection. Count updates. GET /providers is called with specialization=Oncology.</t>
        </is>
      </c>
      <c r="J6" s="12" t="inlineStr">
        <is>
          <t>GET /api/providers (specialization=Oncology)</t>
        </is>
      </c>
      <c r="K6" s="14" t="inlineStr"/>
      <c r="L6" s="15" t="inlineStr">
        <is>
          <t>Not Executed</t>
        </is>
      </c>
      <c r="M6" s="15" t="inlineStr"/>
      <c r="N6" s="15" t="inlineStr"/>
      <c r="O6" s="15" t="inlineStr"/>
      <c r="P6" s="14" t="inlineStr"/>
    </row>
    <row r="7" ht="60" customHeight="1">
      <c r="A7" s="11" t="inlineStr">
        <is>
          <t>PRV-006</t>
        </is>
      </c>
      <c r="B7" s="12" t="inlineStr">
        <is>
          <t>Providers List</t>
        </is>
      </c>
      <c r="C7" s="12" t="inlineStr">
        <is>
          <t>Status filter Inactive shows only inactive providers</t>
        </is>
      </c>
      <c r="D7" s="13" t="inlineStr">
        <is>
          <t>High</t>
        </is>
      </c>
      <c r="E7" s="12" t="inlineStr">
        <is>
          <t>Functional</t>
        </is>
      </c>
      <c r="F7" s="12" t="inlineStr">
        <is>
          <t>Logged in. At least one inactive provider exists.</t>
        </is>
      </c>
      <c r="G7" s="12" t="inlineStr">
        <is>
          <t>1. Open /providers.
2. Open the Status dropdown and choose 'Inactive'.</t>
        </is>
      </c>
      <c r="H7" s="12" t="inlineStr">
        <is>
          <t>Status: Inactive</t>
        </is>
      </c>
      <c r="I7" s="12" t="inlineStr">
        <is>
          <t>List re-queries with is_active=false and shows only providers with a grey 'Inactive' badge. GET /providers is sent with is_active=false.</t>
        </is>
      </c>
      <c r="J7" s="12" t="inlineStr">
        <is>
          <t>GET /api/providers (is_active=false)</t>
        </is>
      </c>
      <c r="K7" s="14" t="inlineStr"/>
      <c r="L7" s="15" t="inlineStr">
        <is>
          <t>Not Executed</t>
        </is>
      </c>
      <c r="M7" s="15" t="inlineStr"/>
      <c r="N7" s="15" t="inlineStr"/>
      <c r="O7" s="15" t="inlineStr"/>
      <c r="P7" s="14" t="inlineStr"/>
    </row>
    <row r="8" ht="120" customHeight="1">
      <c r="A8" s="11" t="inlineStr">
        <is>
          <t>PRV-007</t>
        </is>
      </c>
      <c r="B8" s="12" t="inlineStr">
        <is>
          <t>Providers List</t>
        </is>
      </c>
      <c r="C8" s="12" t="inlineStr">
        <is>
          <t>Status filter 'All' behaviour (is_active omitted, backend defaults to active)</t>
        </is>
      </c>
      <c r="D8" s="19" t="inlineStr">
        <is>
          <t>Medium</t>
        </is>
      </c>
      <c r="E8" s="12" t="inlineStr">
        <is>
          <t>Edge Case</t>
        </is>
      </c>
      <c r="F8" s="12" t="inlineStr">
        <is>
          <t>Logged in. Mix of active and inactive providers exist.</t>
        </is>
      </c>
      <c r="G8" s="12" t="inlineStr">
        <is>
          <t>1. Open /providers.
2. Set Status = 'All'.
3. Inspect the GET /providers request in browser DevTools Network tab.
4. Observe which providers are returned.</t>
        </is>
      </c>
      <c r="H8" s="12" t="inlineStr">
        <is>
          <t>Status: All</t>
        </is>
      </c>
      <c r="I8" s="12" t="inlineStr">
        <is>
          <t>Frontend omits is_active when 'All' is selected. NOTE/KNOWN BEHAVIOUR: backend defaults is_active to true when the param is absent, so 'All' effectively returns only ACTIVE providers (inactive ones do NOT appear). Verify whether returned set matches 'Active' or truly all; log any discrepancy as a defect for the dev team.</t>
        </is>
      </c>
      <c r="J8" s="12" t="inlineStr">
        <is>
          <t>GET /api/providers (is_active omitted)</t>
        </is>
      </c>
      <c r="K8" s="14" t="inlineStr"/>
      <c r="L8" s="15" t="inlineStr">
        <is>
          <t>Not Executed</t>
        </is>
      </c>
      <c r="M8" s="15" t="inlineStr"/>
      <c r="N8" s="15" t="inlineStr"/>
      <c r="O8" s="15" t="inlineStr"/>
      <c r="P8" s="14" t="inlineStr"/>
    </row>
    <row r="9" ht="75" customHeight="1">
      <c r="A9" s="11" t="inlineStr">
        <is>
          <t>PRV-008</t>
        </is>
      </c>
      <c r="B9" s="12" t="inlineStr">
        <is>
          <t>Providers List</t>
        </is>
      </c>
      <c r="C9" s="12" t="inlineStr">
        <is>
          <t>Refresh button reloads the list and shows spinner state</t>
        </is>
      </c>
      <c r="D9" s="19" t="inlineStr">
        <is>
          <t>Medium</t>
        </is>
      </c>
      <c r="E9" s="12" t="inlineStr">
        <is>
          <t>Functional</t>
        </is>
      </c>
      <c r="F9" s="12" t="inlineStr">
        <is>
          <t>Logged in.</t>
        </is>
      </c>
      <c r="G9" s="12" t="inlineStr">
        <is>
          <t>1. Open /providers.
2. Click the circular Refresh (RefreshCw) button next to the Status filter.
3. Observe the icon and list.</t>
        </is>
      </c>
      <c r="H9" s="12" t="inlineStr">
        <is>
          <t>N/A</t>
        </is>
      </c>
      <c r="I9" s="12" t="inlineStr">
        <is>
          <t>Refresh icon spins (animate-spin) and the button is disabled while loading; a fresh GET /providers is issued with the current filters; list re-renders. Button re-enables when done.</t>
        </is>
      </c>
      <c r="J9" s="12" t="inlineStr">
        <is>
          <t>GET /api/providers</t>
        </is>
      </c>
      <c r="K9" s="14" t="inlineStr"/>
      <c r="L9" s="15" t="inlineStr">
        <is>
          <t>Not Executed</t>
        </is>
      </c>
      <c r="M9" s="15" t="inlineStr"/>
      <c r="N9" s="15" t="inlineStr"/>
      <c r="O9" s="15" t="inlineStr"/>
      <c r="P9" s="14" t="inlineStr"/>
    </row>
    <row r="10" ht="45" customHeight="1">
      <c r="A10" s="11" t="inlineStr">
        <is>
          <t>PRV-009</t>
        </is>
      </c>
      <c r="B10" s="12" t="inlineStr">
        <is>
          <t>Providers List</t>
        </is>
      </c>
      <c r="C10" s="12" t="inlineStr">
        <is>
          <t>Clicking a provider card navigates to detail</t>
        </is>
      </c>
      <c r="D10" s="13" t="inlineStr">
        <is>
          <t>High</t>
        </is>
      </c>
      <c r="E10" s="12" t="inlineStr">
        <is>
          <t>Functional</t>
        </is>
      </c>
      <c r="F10" s="12" t="inlineStr">
        <is>
          <t>Logged in. At least one provider exists.</t>
        </is>
      </c>
      <c r="G10" s="12" t="inlineStr">
        <is>
          <t>1. Open /providers.
2. Click anywhere on a provider card (not the View Details button).</t>
        </is>
      </c>
      <c r="H10" s="12" t="inlineStr">
        <is>
          <t>N/A</t>
        </is>
      </c>
      <c r="I10" s="12" t="inlineStr">
        <is>
          <t>Browser navigates to /providers/{id} for that provider and the detail page loads. URL contains the provider's UUID.</t>
        </is>
      </c>
      <c r="J10" s="12" t="inlineStr">
        <is>
          <t>GET /api/providers/{provider_id}; GET /api/providers/{provider_id}/schedule</t>
        </is>
      </c>
      <c r="K10" s="14" t="inlineStr"/>
      <c r="L10" s="15" t="inlineStr">
        <is>
          <t>Not Executed</t>
        </is>
      </c>
      <c r="M10" s="15" t="inlineStr"/>
      <c r="N10" s="15" t="inlineStr"/>
      <c r="O10" s="15" t="inlineStr"/>
      <c r="P10" s="14" t="inlineStr"/>
    </row>
    <row r="11" ht="60" customHeight="1">
      <c r="A11" s="11" t="inlineStr">
        <is>
          <t>PRV-010</t>
        </is>
      </c>
      <c r="B11" s="12" t="inlineStr">
        <is>
          <t>Providers List</t>
        </is>
      </c>
      <c r="C11" s="12" t="inlineStr">
        <is>
          <t>View Details button navigates without double-trigger</t>
        </is>
      </c>
      <c r="D11" s="20" t="inlineStr">
        <is>
          <t>Low</t>
        </is>
      </c>
      <c r="E11" s="12" t="inlineStr">
        <is>
          <t>UI/UX</t>
        </is>
      </c>
      <c r="F11" s="12" t="inlineStr">
        <is>
          <t>Logged in. At least one provider exists.</t>
        </is>
      </c>
      <c r="G11" s="12" t="inlineStr">
        <is>
          <t>1. Open /providers.
2. Click the 'View Details' button inside a provider card.</t>
        </is>
      </c>
      <c r="H11" s="12" t="inlineStr">
        <is>
          <t>N/A</t>
        </is>
      </c>
      <c r="I11" s="12" t="inlineStr">
        <is>
          <t>Navigates to /providers/{id}. The button's stopPropagation prevents the card onClick from firing twice; navigation happens exactly once to the correct provider.</t>
        </is>
      </c>
      <c r="J11" s="12" t="inlineStr">
        <is>
          <t>GET /api/providers/{provider_id}</t>
        </is>
      </c>
      <c r="K11" s="14" t="inlineStr"/>
      <c r="L11" s="15" t="inlineStr">
        <is>
          <t>Not Executed</t>
        </is>
      </c>
      <c r="M11" s="15" t="inlineStr"/>
      <c r="N11" s="15" t="inlineStr"/>
      <c r="O11" s="15" t="inlineStr"/>
      <c r="P11" s="14" t="inlineStr"/>
    </row>
    <row r="12" ht="45" customHeight="1">
      <c r="A12" s="11" t="inlineStr">
        <is>
          <t>PRV-011</t>
        </is>
      </c>
      <c r="B12" s="12" t="inlineStr">
        <is>
          <t>Providers List</t>
        </is>
      </c>
      <c r="C12" s="12" t="inlineStr">
        <is>
          <t>Add Provider button (header) opens create form</t>
        </is>
      </c>
      <c r="D12" s="13" t="inlineStr">
        <is>
          <t>High</t>
        </is>
      </c>
      <c r="E12" s="12" t="inlineStr">
        <is>
          <t>Functional</t>
        </is>
      </c>
      <c r="F12" s="12" t="inlineStr">
        <is>
          <t>Logged in.</t>
        </is>
      </c>
      <c r="G12" s="12" t="inlineStr">
        <is>
          <t>1. Open /providers.
2. Click the top-right 'Add Provider' button.</t>
        </is>
      </c>
      <c r="H12" s="12" t="inlineStr">
        <is>
          <t>N/A</t>
        </is>
      </c>
      <c r="I12" s="12" t="inlineStr">
        <is>
          <t>Navigates to /providers/new showing 'Add New Provider' form with empty fields and consultation_duration defaulted to 30.</t>
        </is>
      </c>
      <c r="J12" s="12" t="inlineStr">
        <is>
          <t>N/A (navigation); GET /api/providers/specializations on form load</t>
        </is>
      </c>
      <c r="K12" s="14" t="inlineStr"/>
      <c r="L12" s="15" t="inlineStr">
        <is>
          <t>Not Executed</t>
        </is>
      </c>
      <c r="M12" s="15" t="inlineStr"/>
      <c r="N12" s="15" t="inlineStr"/>
      <c r="O12" s="15" t="inlineStr"/>
      <c r="P12" s="14" t="inlineStr"/>
    </row>
    <row r="13" ht="90" customHeight="1">
      <c r="A13" s="11" t="inlineStr">
        <is>
          <t>PRV-012</t>
        </is>
      </c>
      <c r="B13" s="12" t="inlineStr">
        <is>
          <t>Providers List</t>
        </is>
      </c>
      <c r="C13" s="12" t="inlineStr">
        <is>
          <t>Empty state when no providers exist at all</t>
        </is>
      </c>
      <c r="D13" s="19" t="inlineStr">
        <is>
          <t>Medium</t>
        </is>
      </c>
      <c r="E13" s="12" t="inlineStr">
        <is>
          <t>UI/UX</t>
        </is>
      </c>
      <c r="F13" s="12" t="inlineStr">
        <is>
          <t>Logged in. A filter combination that yields zero providers (e.g., a specialization with no providers and no search text).</t>
        </is>
      </c>
      <c r="G13" s="12" t="inlineStr">
        <is>
          <t>1. Open /providers.
2. Apply a specialization filter that has no providers.</t>
        </is>
      </c>
      <c r="H13" s="12" t="inlineStr">
        <is>
          <t>Specialization with zero providers</t>
        </is>
      </c>
      <c r="I13" s="12" t="inlineStr">
        <is>
          <t>Empty-state card shows 'No providers found' with the non-search message 'Get started by adding your first healthcare provider.' and an 'Add Provider' CTA.</t>
        </is>
      </c>
      <c r="J13" s="12" t="inlineStr">
        <is>
          <t>GET /api/providers</t>
        </is>
      </c>
      <c r="K13" s="14" t="inlineStr"/>
      <c r="L13" s="15" t="inlineStr">
        <is>
          <t>Not Executed</t>
        </is>
      </c>
      <c r="M13" s="15" t="inlineStr"/>
      <c r="N13" s="15" t="inlineStr"/>
      <c r="O13" s="15" t="inlineStr"/>
      <c r="P13" s="14" t="inlineStr"/>
    </row>
    <row r="14" ht="75" customHeight="1">
      <c r="A14" s="11" t="inlineStr">
        <is>
          <t>PRV-013</t>
        </is>
      </c>
      <c r="B14" s="12" t="inlineStr">
        <is>
          <t>Providers List</t>
        </is>
      </c>
      <c r="C14" s="12" t="inlineStr">
        <is>
          <t>List load failure shows destructive error alert</t>
        </is>
      </c>
      <c r="D14" s="13" t="inlineStr">
        <is>
          <t>High</t>
        </is>
      </c>
      <c r="E14" s="12" t="inlineStr">
        <is>
          <t>Negative</t>
        </is>
      </c>
      <c r="F14" s="12" t="inlineStr">
        <is>
          <t>Logged in. Ability to force an API error (e.g., backend down, or block the /providers request via DevTools).</t>
        </is>
      </c>
      <c r="G14" s="12" t="inlineStr">
        <is>
          <t>1. Open DevTools and set the GET /providers request to fail / offline.
2. Open or refresh /providers.</t>
        </is>
      </c>
      <c r="H14" s="12" t="inlineStr">
        <is>
          <t>Forced 500/network error</t>
        </is>
      </c>
      <c r="I14" s="12" t="inlineStr">
        <is>
          <t>A red destructive Alert appears: 'Failed to load providers. Please try again.' No card grid is shown. Console logs the error. Re-enabling the network and clicking Refresh recovers.</t>
        </is>
      </c>
      <c r="J14" s="12" t="inlineStr">
        <is>
          <t>GET /api/providers (forced failure)</t>
        </is>
      </c>
      <c r="K14" s="14" t="inlineStr"/>
      <c r="L14" s="15" t="inlineStr">
        <is>
          <t>Not Executed</t>
        </is>
      </c>
      <c r="M14" s="15" t="inlineStr"/>
      <c r="N14" s="15" t="inlineStr"/>
      <c r="O14" s="15" t="inlineStr"/>
      <c r="P14" s="14" t="inlineStr"/>
    </row>
    <row r="15" ht="105" customHeight="1">
      <c r="A15" s="11" t="inlineStr">
        <is>
          <t>PRV-014</t>
        </is>
      </c>
      <c r="B15" s="12" t="inlineStr">
        <is>
          <t>Providers List</t>
        </is>
      </c>
      <c r="C15" s="12" t="inlineStr">
        <is>
          <t>List request always uses limit=100 and has no pagination UI</t>
        </is>
      </c>
      <c r="D15" s="20" t="inlineStr">
        <is>
          <t>Low</t>
        </is>
      </c>
      <c r="E15" s="12" t="inlineStr">
        <is>
          <t>Data Integrity</t>
        </is>
      </c>
      <c r="F15" s="12" t="inlineStr">
        <is>
          <t>Logged in. Ideally more than 100 active providers, OR confirm via code/intent.</t>
        </is>
      </c>
      <c r="G15" s="12" t="inlineStr">
        <is>
          <t>1. Open /providers.
2. Inspect the GET /providers request query string in DevTools.
3. Scroll the list to the bottom.</t>
        </is>
      </c>
      <c r="H15" s="12" t="inlineStr">
        <is>
          <t>N/A</t>
        </is>
      </c>
      <c r="I15" s="12" t="inlineStr">
        <is>
          <t>Request includes limit=100 (no page/per_page from UI). There is NO pagination control on the page; if more than 100 active providers exist, the list silently caps at 100. Record this as a known limitation/defect for go-live if provider count can exceed 100.</t>
        </is>
      </c>
      <c r="J15" s="12" t="inlineStr">
        <is>
          <t>GET /api/providers (limit=100)</t>
        </is>
      </c>
      <c r="K15" s="14" t="inlineStr"/>
      <c r="L15" s="15" t="inlineStr">
        <is>
          <t>Not Executed</t>
        </is>
      </c>
      <c r="M15" s="15" t="inlineStr"/>
      <c r="N15" s="15" t="inlineStr"/>
      <c r="O15" s="15" t="inlineStr"/>
      <c r="P15" s="14" t="inlineStr"/>
    </row>
    <row r="16" ht="195" customHeight="1">
      <c r="A16" s="16" t="inlineStr">
        <is>
          <t>PRV-015</t>
        </is>
      </c>
      <c r="B16" s="17" t="inlineStr">
        <is>
          <t>Create Provider</t>
        </is>
      </c>
      <c r="C16" s="17" t="inlineStr">
        <is>
          <t>Create provider with all valid fields succeeds</t>
        </is>
      </c>
      <c r="D16" s="21" t="inlineStr">
        <is>
          <t>High</t>
        </is>
      </c>
      <c r="E16" s="17" t="inlineStr">
        <is>
          <t>Functional</t>
        </is>
      </c>
      <c r="F16" s="17" t="inlineStr">
        <is>
          <t>Logged in. On /providers/new.</t>
        </is>
      </c>
      <c r="G16" s="17" t="inlineStr">
        <is>
          <t>1. Enter Full Name 'Dr. Meera Krishnan'.
2. Select a Specialization (e.g., Palliative Medicine).
3. Fill Qualification 'MBBS, MD', Designation 'Senior Consultant'.
4. Fill License Number 'FM-2026-014', pick a future License Expiry Date, HPR ID 'HPR-654321', set Consultation Duration 30.
5. Fill Email 'meera.k@saranam.in', Phone '+91-9876543210', Address, City 'Bangalore', State 'Karnataka', Postal Code '560001'.
6. Leave Status = Active.
7. Click 'Create Provider'.</t>
        </is>
      </c>
      <c r="H16" s="17" t="inlineStr">
        <is>
          <t>Full provider record (India data above)</t>
        </is>
      </c>
      <c r="I16" s="17" t="inlineStr">
        <is>
          <t>Button shows 'Saving...' spinner, POST /providers returns 201, and the app navigates to /providers. The new provider appears in the active list.</t>
        </is>
      </c>
      <c r="J16" s="17" t="inlineStr">
        <is>
          <t>POST /api/providers</t>
        </is>
      </c>
      <c r="K16" s="14" t="inlineStr"/>
      <c r="L16" s="15" t="inlineStr">
        <is>
          <t>Not Executed</t>
        </is>
      </c>
      <c r="M16" s="15" t="inlineStr"/>
      <c r="N16" s="15" t="inlineStr"/>
      <c r="O16" s="15" t="inlineStr"/>
      <c r="P16" s="14" t="inlineStr"/>
    </row>
    <row r="17" ht="75" customHeight="1">
      <c r="A17" s="16" t="inlineStr">
        <is>
          <t>PRV-016</t>
        </is>
      </c>
      <c r="B17" s="17" t="inlineStr">
        <is>
          <t>Create Provider</t>
        </is>
      </c>
      <c r="C17" s="17" t="inlineStr">
        <is>
          <t>Required-field validation: missing Full Name</t>
        </is>
      </c>
      <c r="D17" s="21" t="inlineStr">
        <is>
          <t>High</t>
        </is>
      </c>
      <c r="E17" s="17" t="inlineStr">
        <is>
          <t>Validation</t>
        </is>
      </c>
      <c r="F17" s="17" t="inlineStr">
        <is>
          <t>Logged in. On /providers/new.</t>
        </is>
      </c>
      <c r="G17" s="17" t="inlineStr">
        <is>
          <t>1. Leave Full Name empty.
2. Select a Specialization.
3. Click 'Create Provider'.</t>
        </is>
      </c>
      <c r="H17" s="17" t="inlineStr">
        <is>
          <t>full_name = (blank)</t>
        </is>
      </c>
      <c r="I17" s="17" t="inlineStr">
        <is>
          <t>Submission is blocked. Either the native HTML5 'required' prompt fires on the Full Name input, or the destructive Alert 'Please fill in all required fields' appears. No POST is sent and no navigation occurs.</t>
        </is>
      </c>
      <c r="J17" s="17" t="inlineStr">
        <is>
          <t>N/A (client-side validation; no POST)</t>
        </is>
      </c>
      <c r="K17" s="14" t="inlineStr"/>
      <c r="L17" s="15" t="inlineStr">
        <is>
          <t>Not Executed</t>
        </is>
      </c>
      <c r="M17" s="15" t="inlineStr"/>
      <c r="N17" s="15" t="inlineStr"/>
      <c r="O17" s="15" t="inlineStr"/>
      <c r="P17" s="14" t="inlineStr"/>
    </row>
    <row r="18" ht="60" customHeight="1">
      <c r="A18" s="16" t="inlineStr">
        <is>
          <t>PRV-017</t>
        </is>
      </c>
      <c r="B18" s="17" t="inlineStr">
        <is>
          <t>Create Provider</t>
        </is>
      </c>
      <c r="C18" s="17" t="inlineStr">
        <is>
          <t>Required-field validation: missing Specialization</t>
        </is>
      </c>
      <c r="D18" s="21" t="inlineStr">
        <is>
          <t>High</t>
        </is>
      </c>
      <c r="E18" s="17" t="inlineStr">
        <is>
          <t>Validation</t>
        </is>
      </c>
      <c r="F18" s="17" t="inlineStr">
        <is>
          <t>Logged in. On /providers/new.</t>
        </is>
      </c>
      <c r="G18" s="17" t="inlineStr">
        <is>
          <t>1. Enter Full Name 'Dr. Test'.
2. Leave Specialization unselected.
3. Click 'Create Provider'.</t>
        </is>
      </c>
      <c r="H18" s="17" t="inlineStr">
        <is>
          <t>specialization = (blank)</t>
        </is>
      </c>
      <c r="I18" s="17" t="inlineStr">
        <is>
          <t>Submission blocked; Alert 'Please fill in all required fields' shown (specialization is checked in handleSubmit). No POST sent.</t>
        </is>
      </c>
      <c r="J18" s="17" t="inlineStr">
        <is>
          <t>N/A (client-side validation; no POST)</t>
        </is>
      </c>
      <c r="K18" s="14" t="inlineStr"/>
      <c r="L18" s="15" t="inlineStr">
        <is>
          <t>Not Executed</t>
        </is>
      </c>
      <c r="M18" s="15" t="inlineStr"/>
      <c r="N18" s="15" t="inlineStr"/>
      <c r="O18" s="15" t="inlineStr"/>
      <c r="P18" s="14" t="inlineStr"/>
    </row>
    <row r="19" ht="60" customHeight="1">
      <c r="A19" s="16" t="inlineStr">
        <is>
          <t>PRV-018</t>
        </is>
      </c>
      <c r="B19" s="17" t="inlineStr">
        <is>
          <t>Create Provider</t>
        </is>
      </c>
      <c r="C19" s="17" t="inlineStr">
        <is>
          <t>Email format validation</t>
        </is>
      </c>
      <c r="D19" s="18" t="inlineStr">
        <is>
          <t>Medium</t>
        </is>
      </c>
      <c r="E19" s="17" t="inlineStr">
        <is>
          <t>Validation</t>
        </is>
      </c>
      <c r="F19" s="17" t="inlineStr">
        <is>
          <t>Logged in. On /providers/new.</t>
        </is>
      </c>
      <c r="G19" s="17" t="inlineStr">
        <is>
          <t>1. Enter Full Name and Specialization.
2. Enter Email 'not-an-email' in the Email field (type=email).
3. Click 'Create Provider'.</t>
        </is>
      </c>
      <c r="H19" s="17" t="inlineStr">
        <is>
          <t>email = not-an-email</t>
        </is>
      </c>
      <c r="I19" s="17" t="inlineStr">
        <is>
          <t>The HTML5 email input rejects the malformed value and shows the browser 'Please include an @' validation tooltip; submission is blocked until corrected.</t>
        </is>
      </c>
      <c r="J19" s="17" t="inlineStr">
        <is>
          <t>N/A (client validation) / POST /api/providers if bypassed</t>
        </is>
      </c>
      <c r="K19" s="14" t="inlineStr"/>
      <c r="L19" s="15" t="inlineStr">
        <is>
          <t>Not Executed</t>
        </is>
      </c>
      <c r="M19" s="15" t="inlineStr"/>
      <c r="N19" s="15" t="inlineStr"/>
      <c r="O19" s="15" t="inlineStr"/>
      <c r="P19" s="14" t="inlineStr"/>
    </row>
    <row r="20" ht="90" customHeight="1">
      <c r="A20" s="16" t="inlineStr">
        <is>
          <t>PRV-019</t>
        </is>
      </c>
      <c r="B20" s="17" t="inlineStr">
        <is>
          <t>Create Provider</t>
        </is>
      </c>
      <c r="C20" s="17" t="inlineStr">
        <is>
          <t>Phone field accepts +91 India format</t>
        </is>
      </c>
      <c r="D20" s="18" t="inlineStr">
        <is>
          <t>Medium</t>
        </is>
      </c>
      <c r="E20" s="17" t="inlineStr">
        <is>
          <t>Validation</t>
        </is>
      </c>
      <c r="F20" s="17" t="inlineStr">
        <is>
          <t>Logged in. On /providers/new.</t>
        </is>
      </c>
      <c r="G20" s="17" t="inlineStr">
        <is>
          <t>1. Enter Full Name and Specialization.
2. Enter Phone '+91-9876543210' (type=tel).
3. Save and reopen the provider to verify the stored value.</t>
        </is>
      </c>
      <c r="H20" s="17" t="inlineStr">
        <is>
          <t>phone = +91-9876543210</t>
        </is>
      </c>
      <c r="I20" s="17" t="inlineStr">
        <is>
          <t>Value is accepted and persisted exactly as entered (tel input does no format enforcement). Phone displays on detail page and in the card. Note: there is NO client-side India 10-digit/+91 regex; any string is accepted — record as observation.</t>
        </is>
      </c>
      <c r="J20" s="17" t="inlineStr">
        <is>
          <t>POST /api/providers</t>
        </is>
      </c>
      <c r="K20" s="14" t="inlineStr"/>
      <c r="L20" s="15" t="inlineStr">
        <is>
          <t>Not Executed</t>
        </is>
      </c>
      <c r="M20" s="15" t="inlineStr"/>
      <c r="N20" s="15" t="inlineStr"/>
      <c r="O20" s="15" t="inlineStr"/>
      <c r="P20" s="14" t="inlineStr"/>
    </row>
    <row r="21" ht="75" customHeight="1">
      <c r="A21" s="16" t="inlineStr">
        <is>
          <t>PRV-020</t>
        </is>
      </c>
      <c r="B21" s="17" t="inlineStr">
        <is>
          <t>Create Provider</t>
        </is>
      </c>
      <c r="C21" s="17" t="inlineStr">
        <is>
          <t>Consultation Duration min/max/step constraints</t>
        </is>
      </c>
      <c r="D21" s="22" t="inlineStr">
        <is>
          <t>Low</t>
        </is>
      </c>
      <c r="E21" s="17" t="inlineStr">
        <is>
          <t>Validation</t>
        </is>
      </c>
      <c r="F21" s="17" t="inlineStr">
        <is>
          <t>Logged in. On /providers/new.</t>
        </is>
      </c>
      <c r="G21" s="17" t="inlineStr">
        <is>
          <t>1. Focus the Consultation Duration (minutes) number input.
2. Use the stepper / type values 10, 30, 130.
3. Attempt to save with each.</t>
        </is>
      </c>
      <c r="H21" s="17" t="inlineStr">
        <is>
          <t>consultation_duration = 10, 30, 130</t>
        </is>
      </c>
      <c r="I21" s="17" t="inlineStr">
        <is>
          <t>Input is bounded min=15, max=120, step=15. Out-of-range values (10, 130) trigger the browser number-validation tooltip on submit; 30 is accepted. Confirm the value sent in POST matches the entered integer.</t>
        </is>
      </c>
      <c r="J21" s="17" t="inlineStr">
        <is>
          <t>POST /api/providers</t>
        </is>
      </c>
      <c r="K21" s="14" t="inlineStr"/>
      <c r="L21" s="15" t="inlineStr">
        <is>
          <t>Not Executed</t>
        </is>
      </c>
      <c r="M21" s="15" t="inlineStr"/>
      <c r="N21" s="15" t="inlineStr"/>
      <c r="O21" s="15" t="inlineStr"/>
      <c r="P21" s="14" t="inlineStr"/>
    </row>
    <row r="22" ht="75" customHeight="1">
      <c r="A22" s="16" t="inlineStr">
        <is>
          <t>PRV-021</t>
        </is>
      </c>
      <c r="B22" s="17" t="inlineStr">
        <is>
          <t>Create Provider</t>
        </is>
      </c>
      <c r="C22" s="17" t="inlineStr">
        <is>
          <t>Cancel/Back discards the form without saving</t>
        </is>
      </c>
      <c r="D22" s="18" t="inlineStr">
        <is>
          <t>Medium</t>
        </is>
      </c>
      <c r="E22" s="17" t="inlineStr">
        <is>
          <t>Functional</t>
        </is>
      </c>
      <c r="F22" s="17" t="inlineStr">
        <is>
          <t>Logged in. On /providers/new.</t>
        </is>
      </c>
      <c r="G22" s="17" t="inlineStr">
        <is>
          <t>1. Type some data into Full Name.
2. Click the 'Cancel' button (or the top 'Back' button).
3. Confirm you return to the list and the typed provider was not created.</t>
        </is>
      </c>
      <c r="H22" s="17" t="inlineStr">
        <is>
          <t>full_name = Discard Me</t>
        </is>
      </c>
      <c r="I22" s="17" t="inlineStr">
        <is>
          <t>Navigates to /providers with no POST sent; 'Discard Me' does not appear in the list. (Cancel is disabled while saving.)</t>
        </is>
      </c>
      <c r="J22" s="17" t="inlineStr">
        <is>
          <t>N/A (no POST)</t>
        </is>
      </c>
      <c r="K22" s="14" t="inlineStr"/>
      <c r="L22" s="15" t="inlineStr">
        <is>
          <t>Not Executed</t>
        </is>
      </c>
      <c r="M22" s="15" t="inlineStr"/>
      <c r="N22" s="15" t="inlineStr"/>
      <c r="O22" s="15" t="inlineStr"/>
      <c r="P22" s="14" t="inlineStr"/>
    </row>
    <row r="23" ht="90" customHeight="1">
      <c r="A23" s="16" t="inlineStr">
        <is>
          <t>PRV-022</t>
        </is>
      </c>
      <c r="B23" s="17" t="inlineStr">
        <is>
          <t>Create Provider</t>
        </is>
      </c>
      <c r="C23" s="17" t="inlineStr">
        <is>
          <t>Save error from server surfaces the API error message</t>
        </is>
      </c>
      <c r="D23" s="21" t="inlineStr">
        <is>
          <t>High</t>
        </is>
      </c>
      <c r="E23" s="17" t="inlineStr">
        <is>
          <t>Negative</t>
        </is>
      </c>
      <c r="F23" s="17" t="inlineStr">
        <is>
          <t>Logged in. On /providers/new. Ability to force POST /providers to return 400/500 (e.g., DevTools, or trigger a backend ValueError).</t>
        </is>
      </c>
      <c r="G23" s="17" t="inlineStr">
        <is>
          <t>1. Fill required fields.
2. Force POST /providers to fail (e.g., 400 with {error:'...'}).
3. Click 'Create Provider'.</t>
        </is>
      </c>
      <c r="H23" s="17" t="inlineStr">
        <is>
          <t>Forced 400/500</t>
        </is>
      </c>
      <c r="I23" s="17" t="inlineStr">
        <is>
          <t>No navigation. Destructive Alert shows err.response.data.error if present, else fallback 'Failed to save provider. Please try again.'. Saving spinner clears and form remains editable.</t>
        </is>
      </c>
      <c r="J23" s="17" t="inlineStr">
        <is>
          <t>POST /api/providers (forced error)</t>
        </is>
      </c>
      <c r="K23" s="14" t="inlineStr"/>
      <c r="L23" s="15" t="inlineStr">
        <is>
          <t>Not Executed</t>
        </is>
      </c>
      <c r="M23" s="15" t="inlineStr"/>
      <c r="N23" s="15" t="inlineStr"/>
      <c r="O23" s="15" t="inlineStr"/>
      <c r="P23" s="14" t="inlineStr"/>
    </row>
    <row r="24" ht="75" customHeight="1">
      <c r="A24" s="11" t="inlineStr">
        <is>
          <t>PRV-023</t>
        </is>
      </c>
      <c r="B24" s="12" t="inlineStr">
        <is>
          <t>Create Provider - AddOptionDialog</t>
        </is>
      </c>
      <c r="C24" s="12" t="inlineStr">
        <is>
          <t>Add a new specialization inline via the dropdown</t>
        </is>
      </c>
      <c r="D24" s="13" t="inlineStr">
        <is>
          <t>High</t>
        </is>
      </c>
      <c r="E24" s="12" t="inlineStr">
        <is>
          <t>Functional</t>
        </is>
      </c>
      <c r="F24" s="12" t="inlineStr">
        <is>
          <t>Logged in. On /providers/new.</t>
        </is>
      </c>
      <c r="G24" s="12" t="inlineStr">
        <is>
          <t>1. Open the Specialization dropdown.
2. Click 'Add New Specialization...'.
3. In the dialog enter 'Lymphedema Care' and click 'Add Specialization'.</t>
        </is>
      </c>
      <c r="H24" s="12" t="inlineStr">
        <is>
          <t>name = Lymphedema Care</t>
        </is>
      </c>
      <c r="I24" s="12" t="inlineStr">
        <is>
          <t>AddOptionDialog opens. On submit POST /providers/specializations is sent (201), the dialog closes, the specializations list refreshes, and the new 'Lymphedema Care' is auto-selected in the form field.</t>
        </is>
      </c>
      <c r="J24" s="12" t="inlineStr">
        <is>
          <t>POST /api/providers/specializations; GET /api/providers/specializations</t>
        </is>
      </c>
      <c r="K24" s="14" t="inlineStr"/>
      <c r="L24" s="15" t="inlineStr">
        <is>
          <t>Not Executed</t>
        </is>
      </c>
      <c r="M24" s="15" t="inlineStr"/>
      <c r="N24" s="15" t="inlineStr"/>
      <c r="O24" s="15" t="inlineStr"/>
      <c r="P24" s="14" t="inlineStr"/>
    </row>
    <row r="25" ht="45" customHeight="1">
      <c r="A25" s="11" t="inlineStr">
        <is>
          <t>PRV-024</t>
        </is>
      </c>
      <c r="B25" s="12" t="inlineStr">
        <is>
          <t>Create Provider - AddOptionDialog</t>
        </is>
      </c>
      <c r="C25" s="12" t="inlineStr">
        <is>
          <t>AddOptionDialog rejects empty value</t>
        </is>
      </c>
      <c r="D25" s="19" t="inlineStr">
        <is>
          <t>Medium</t>
        </is>
      </c>
      <c r="E25" s="12" t="inlineStr">
        <is>
          <t>Validation</t>
        </is>
      </c>
      <c r="F25" s="12" t="inlineStr">
        <is>
          <t>Logged in. AddOptionDialog open.</t>
        </is>
      </c>
      <c r="G25" s="12" t="inlineStr">
        <is>
          <t>1. Leave the Specialization input blank.
2. Click 'Add Specialization'.</t>
        </is>
      </c>
      <c r="H25" s="12" t="inlineStr">
        <is>
          <t>name = (blank)</t>
        </is>
      </c>
      <c r="I25" s="12" t="inlineStr">
        <is>
          <t>Inline destructive Alert 'Specialization is required' is shown; no POST is sent; dialog stays open.</t>
        </is>
      </c>
      <c r="J25" s="12" t="inlineStr">
        <is>
          <t>N/A (client validation; no POST)</t>
        </is>
      </c>
      <c r="K25" s="14" t="inlineStr"/>
      <c r="L25" s="15" t="inlineStr">
        <is>
          <t>Not Executed</t>
        </is>
      </c>
      <c r="M25" s="15" t="inlineStr"/>
      <c r="N25" s="15" t="inlineStr"/>
      <c r="O25" s="15" t="inlineStr"/>
      <c r="P25" s="14" t="inlineStr"/>
    </row>
    <row r="26" ht="45" customHeight="1">
      <c r="A26" s="11" t="inlineStr">
        <is>
          <t>PRV-025</t>
        </is>
      </c>
      <c r="B26" s="12" t="inlineStr">
        <is>
          <t>Create Provider - AddOptionDialog</t>
        </is>
      </c>
      <c r="C26" s="12" t="inlineStr">
        <is>
          <t>AddOptionDialog enforces minimum 2 characters</t>
        </is>
      </c>
      <c r="D26" s="20" t="inlineStr">
        <is>
          <t>Low</t>
        </is>
      </c>
      <c r="E26" s="12" t="inlineStr">
        <is>
          <t>Validation</t>
        </is>
      </c>
      <c r="F26" s="12" t="inlineStr">
        <is>
          <t>Logged in. AddOptionDialog open.</t>
        </is>
      </c>
      <c r="G26" s="12" t="inlineStr">
        <is>
          <t>1. Enter a single character 'A'.
2. Click 'Add Specialization'.</t>
        </is>
      </c>
      <c r="H26" s="12" t="inlineStr">
        <is>
          <t>name = A</t>
        </is>
      </c>
      <c r="I26" s="12" t="inlineStr">
        <is>
          <t>Inline Alert 'Specialization must be at least 2 characters'; no POST sent; dialog stays open.</t>
        </is>
      </c>
      <c r="J26" s="12" t="inlineStr">
        <is>
          <t>N/A (client validation; no POST)</t>
        </is>
      </c>
      <c r="K26" s="14" t="inlineStr"/>
      <c r="L26" s="15" t="inlineStr">
        <is>
          <t>Not Executed</t>
        </is>
      </c>
      <c r="M26" s="15" t="inlineStr"/>
      <c r="N26" s="15" t="inlineStr"/>
      <c r="O26" s="15" t="inlineStr"/>
      <c r="P26" s="14" t="inlineStr"/>
    </row>
    <row r="27" ht="75" customHeight="1">
      <c r="A27" s="11" t="inlineStr">
        <is>
          <t>PRV-026</t>
        </is>
      </c>
      <c r="B27" s="12" t="inlineStr">
        <is>
          <t>Create Provider - AddOptionDialog</t>
        </is>
      </c>
      <c r="C27" s="12" t="inlineStr">
        <is>
          <t>AddOptionDialog surfaces server error (e.g., duplicate specialization)</t>
        </is>
      </c>
      <c r="D27" s="19" t="inlineStr">
        <is>
          <t>Medium</t>
        </is>
      </c>
      <c r="E27" s="12" t="inlineStr">
        <is>
          <t>Negative</t>
        </is>
      </c>
      <c r="F27" s="12" t="inlineStr">
        <is>
          <t>Logged in. AddOptionDialog open. A specialization with the same name already exists.</t>
        </is>
      </c>
      <c r="G27" s="12" t="inlineStr">
        <is>
          <t>1. Enter the name of an existing specialization (e.g., 'Oncology').
2. Click 'Add Specialization'.</t>
        </is>
      </c>
      <c r="H27" s="12" t="inlineStr">
        <is>
          <t>name = Oncology (existing)</t>
        </is>
      </c>
      <c r="I27" s="12" t="inlineStr">
        <is>
          <t>Backend returns 400 (ValueError) and the dialog shows err.response.data.error (e.g., duplicate message) or the fallback 'Failed to add specialization'. The dialog stays open; no duplicate is added.</t>
        </is>
      </c>
      <c r="J27" s="12" t="inlineStr">
        <is>
          <t>POST /api/providers/specializations (400)</t>
        </is>
      </c>
      <c r="K27" s="14" t="inlineStr"/>
      <c r="L27" s="15" t="inlineStr">
        <is>
          <t>Not Executed</t>
        </is>
      </c>
      <c r="M27" s="15" t="inlineStr"/>
      <c r="N27" s="15" t="inlineStr"/>
      <c r="O27" s="15" t="inlineStr"/>
      <c r="P27" s="14" t="inlineStr"/>
    </row>
    <row r="28" ht="60" customHeight="1">
      <c r="A28" s="11" t="inlineStr">
        <is>
          <t>PRV-027</t>
        </is>
      </c>
      <c r="B28" s="12" t="inlineStr">
        <is>
          <t>Create Provider - AddOptionDialog</t>
        </is>
      </c>
      <c r="C28" s="12" t="inlineStr">
        <is>
          <t>Cancel/close AddOptionDialog clears its state</t>
        </is>
      </c>
      <c r="D28" s="20" t="inlineStr">
        <is>
          <t>Low</t>
        </is>
      </c>
      <c r="E28" s="12" t="inlineStr">
        <is>
          <t>UI/UX</t>
        </is>
      </c>
      <c r="F28" s="12" t="inlineStr">
        <is>
          <t>Logged in. AddOptionDialog open with text typed.</t>
        </is>
      </c>
      <c r="G28" s="12" t="inlineStr">
        <is>
          <t>1. Type 'Temp Spec'.
2. Click 'Cancel' (or press Escape / click outside).
3. Re-open the Add New Specialization dialog.</t>
        </is>
      </c>
      <c r="H28" s="12" t="inlineStr">
        <is>
          <t>name = Temp Spec</t>
        </is>
      </c>
      <c r="I28" s="12" t="inlineStr">
        <is>
          <t>Dialog closes without sending a POST; on reopen the input and any error are reset to empty.</t>
        </is>
      </c>
      <c r="J28" s="12" t="inlineStr">
        <is>
          <t>N/A</t>
        </is>
      </c>
      <c r="K28" s="14" t="inlineStr"/>
      <c r="L28" s="15" t="inlineStr">
        <is>
          <t>Not Executed</t>
        </is>
      </c>
      <c r="M28" s="15" t="inlineStr"/>
      <c r="N28" s="15" t="inlineStr"/>
      <c r="O28" s="15" t="inlineStr"/>
      <c r="P28" s="14" t="inlineStr"/>
    </row>
    <row r="29" ht="90" customHeight="1">
      <c r="A29" s="16" t="inlineStr">
        <is>
          <t>PRV-028</t>
        </is>
      </c>
      <c r="B29" s="17" t="inlineStr">
        <is>
          <t>Create Provider - Manage Specializations</t>
        </is>
      </c>
      <c r="C29" s="17" t="inlineStr">
        <is>
          <t>Open Manage Specializations dialog and view list</t>
        </is>
      </c>
      <c r="D29" s="18" t="inlineStr">
        <is>
          <t>Medium</t>
        </is>
      </c>
      <c r="E29" s="17" t="inlineStr">
        <is>
          <t>Functional</t>
        </is>
      </c>
      <c r="F29" s="17" t="inlineStr">
        <is>
          <t>Logged in. On /providers/new or edit. Specializations exist.</t>
        </is>
      </c>
      <c r="G29" s="17" t="inlineStr">
        <is>
          <t>1. Click the 'Manage' link next to the Specialization label.
2. Observe the dialog content.</t>
        </is>
      </c>
      <c r="H29" s="17" t="inlineStr">
        <is>
          <t>N/A</t>
        </is>
      </c>
      <c r="I29" s="17" t="inlineStr">
        <is>
          <t>A modal 'Manage Specializations' opens listing every specialization with a hover-revealed trash icon, plus the helper text that removing one only hides it from dropdowns and does not affect existing providers/assignments.</t>
        </is>
      </c>
      <c r="J29" s="17" t="inlineStr">
        <is>
          <t>GET /api/providers/specializations (already loaded)</t>
        </is>
      </c>
      <c r="K29" s="14" t="inlineStr"/>
      <c r="L29" s="15" t="inlineStr">
        <is>
          <t>Not Executed</t>
        </is>
      </c>
      <c r="M29" s="15" t="inlineStr"/>
      <c r="N29" s="15" t="inlineStr"/>
      <c r="O29" s="15" t="inlineStr"/>
      <c r="P29" s="14" t="inlineStr"/>
    </row>
    <row r="30" ht="90" customHeight="1">
      <c r="A30" s="16" t="inlineStr">
        <is>
          <t>PRV-029</t>
        </is>
      </c>
      <c r="B30" s="17" t="inlineStr">
        <is>
          <t>Create Provider - Manage Specializations</t>
        </is>
      </c>
      <c r="C30" s="17" t="inlineStr">
        <is>
          <t>Soft-delete a specialization from Manage dialog</t>
        </is>
      </c>
      <c r="D30" s="21" t="inlineStr">
        <is>
          <t>High</t>
        </is>
      </c>
      <c r="E30" s="17" t="inlineStr">
        <is>
          <t>Functional</t>
        </is>
      </c>
      <c r="F30" s="17" t="inlineStr">
        <is>
          <t>Logged in. Manage Specializations dialog open. A removable specialization exists (preferably one created for testing).</t>
        </is>
      </c>
      <c r="G30" s="17" t="inlineStr">
        <is>
          <t>1. Hover a specialization row and click its trash icon.
2. Observe the spinner on that row and the list after completion.</t>
        </is>
      </c>
      <c r="H30" s="17" t="inlineStr">
        <is>
          <t>Specialization: Lymphedema Care</t>
        </is>
      </c>
      <c r="I30" s="17" t="inlineStr">
        <is>
          <t>DELETE /providers/specializations/{name} (URL-encoded) is sent (200), a loading spinner shows on the row, then the list refreshes without that specialization. If it was the currently selected form value, the Specialization field is cleared.</t>
        </is>
      </c>
      <c r="J30" s="17" t="inlineStr">
        <is>
          <t>DELETE /api/providers/specializations/{name}; GET /api/providers/specializations</t>
        </is>
      </c>
      <c r="K30" s="14" t="inlineStr"/>
      <c r="L30" s="15" t="inlineStr">
        <is>
          <t>Not Executed</t>
        </is>
      </c>
      <c r="M30" s="15" t="inlineStr"/>
      <c r="N30" s="15" t="inlineStr"/>
      <c r="O30" s="15" t="inlineStr"/>
      <c r="P30" s="14" t="inlineStr"/>
    </row>
    <row r="31" ht="60" customHeight="1">
      <c r="A31" s="16" t="inlineStr">
        <is>
          <t>PRV-030</t>
        </is>
      </c>
      <c r="B31" s="17" t="inlineStr">
        <is>
          <t>Create Provider - Manage Specializations</t>
        </is>
      </c>
      <c r="C31" s="17" t="inlineStr">
        <is>
          <t>Deleting a specialization with spaces/special chars encodes the name</t>
        </is>
      </c>
      <c r="D31" s="22" t="inlineStr">
        <is>
          <t>Low</t>
        </is>
      </c>
      <c r="E31" s="17" t="inlineStr">
        <is>
          <t>Edge Case</t>
        </is>
      </c>
      <c r="F31" s="17" t="inlineStr">
        <is>
          <t>Logged in. A specialization name with a space exists (e.g., 'Home Care Nursing').</t>
        </is>
      </c>
      <c r="G31" s="17" t="inlineStr">
        <is>
          <t>1. Open Manage Specializations.
2. Delete 'Home Care Nursing'.
3. Inspect the DELETE request URL in DevTools.</t>
        </is>
      </c>
      <c r="H31" s="17" t="inlineStr">
        <is>
          <t>name = Home Care Nursing</t>
        </is>
      </c>
      <c r="I31" s="17" t="inlineStr">
        <is>
          <t>Request path is properly URL-encoded (e.g., Home%20Care%20Nursing) via encodeURIComponent and the backend &lt;path:name&gt; route matches it; deletion succeeds with 200.</t>
        </is>
      </c>
      <c r="J31" s="17" t="inlineStr">
        <is>
          <t>DELETE /api/providers/specializations/Home%20Care%20Nursing</t>
        </is>
      </c>
      <c r="K31" s="14" t="inlineStr"/>
      <c r="L31" s="15" t="inlineStr">
        <is>
          <t>Not Executed</t>
        </is>
      </c>
      <c r="M31" s="15" t="inlineStr"/>
      <c r="N31" s="15" t="inlineStr"/>
      <c r="O31" s="15" t="inlineStr"/>
      <c r="P31" s="14" t="inlineStr"/>
    </row>
    <row r="32" ht="90" customHeight="1">
      <c r="A32" s="11" t="inlineStr">
        <is>
          <t>PRV-031</t>
        </is>
      </c>
      <c r="B32" s="12" t="inlineStr">
        <is>
          <t>Create Provider - Signature Upload</t>
        </is>
      </c>
      <c r="C32" s="12" t="inlineStr">
        <is>
          <t>Upload a valid PNG signature in the form</t>
        </is>
      </c>
      <c r="D32" s="19" t="inlineStr">
        <is>
          <t>Medium</t>
        </is>
      </c>
      <c r="E32" s="12" t="inlineStr">
        <is>
          <t>Functional</t>
        </is>
      </c>
      <c r="F32" s="12" t="inlineStr">
        <is>
          <t>Logged in. On /providers/new or edit. Valid PNG ~50KB available.</t>
        </is>
      </c>
      <c r="G32" s="12" t="inlineStr">
        <is>
          <t>1. In the 'Prescription Signature' card click 'Click to upload signature'.
2. Choose a valid PNG under 500KB.
3. Observe the preview.</t>
        </is>
      </c>
      <c r="H32" s="12" t="inlineStr">
        <is>
          <t>signature.png (~50KB)</t>
        </is>
      </c>
      <c r="I32" s="12" t="inlineStr">
        <is>
          <t>A FileReader reads the image and an inline preview thumbnail (max-h-24) is shown with a 'Remove signature' button. The base64 data URI is held in formData.signature_image and is sent with the provider create/update.</t>
        </is>
      </c>
      <c r="J32" s="12" t="inlineStr">
        <is>
          <t>N/A (read client-side; persisted via POST/PUT /api/providers) — see PRV-053 for dedicated /signature endpoint</t>
        </is>
      </c>
      <c r="K32" s="14" t="inlineStr"/>
      <c r="L32" s="15" t="inlineStr">
        <is>
          <t>Not Executed</t>
        </is>
      </c>
      <c r="M32" s="15" t="inlineStr"/>
      <c r="N32" s="15" t="inlineStr"/>
      <c r="O32" s="15" t="inlineStr"/>
      <c r="P32" s="14" t="inlineStr"/>
    </row>
    <row r="33" ht="60" customHeight="1">
      <c r="A33" s="11" t="inlineStr">
        <is>
          <t>PRV-032</t>
        </is>
      </c>
      <c r="B33" s="12" t="inlineStr">
        <is>
          <t>Create Provider - Signature Upload</t>
        </is>
      </c>
      <c r="C33" s="12" t="inlineStr">
        <is>
          <t>Reject oversized signature image (&gt; 500 KB) client-side</t>
        </is>
      </c>
      <c r="D33" s="19" t="inlineStr">
        <is>
          <t>Medium</t>
        </is>
      </c>
      <c r="E33" s="12" t="inlineStr">
        <is>
          <t>Validation</t>
        </is>
      </c>
      <c r="F33" s="12" t="inlineStr">
        <is>
          <t>Logged in. On the form. PNG larger than 500KB available.</t>
        </is>
      </c>
      <c r="G33" s="12" t="inlineStr">
        <is>
          <t>1. Click upload and select an image &gt; 500KB.</t>
        </is>
      </c>
      <c r="H33" s="12" t="inlineStr">
        <is>
          <t>big-signature.png (~800KB)</t>
        </is>
      </c>
      <c r="I33" s="12" t="inlineStr">
        <is>
          <t>No preview is set; a red error message appears like 'File is too large (800 KB). Max is 500 KB.' The signature_image remains empty.</t>
        </is>
      </c>
      <c r="J33" s="12" t="inlineStr">
        <is>
          <t>N/A (client validation)</t>
        </is>
      </c>
      <c r="K33" s="14" t="inlineStr"/>
      <c r="L33" s="15" t="inlineStr">
        <is>
          <t>Not Executed</t>
        </is>
      </c>
      <c r="M33" s="15" t="inlineStr"/>
      <c r="N33" s="15" t="inlineStr"/>
      <c r="O33" s="15" t="inlineStr"/>
      <c r="P33" s="14" t="inlineStr"/>
    </row>
    <row r="34" ht="75" customHeight="1">
      <c r="A34" s="11" t="inlineStr">
        <is>
          <t>PRV-033</t>
        </is>
      </c>
      <c r="B34" s="12" t="inlineStr">
        <is>
          <t>Create Provider - Signature Upload</t>
        </is>
      </c>
      <c r="C34" s="12" t="inlineStr">
        <is>
          <t>Reject non-image file for signature</t>
        </is>
      </c>
      <c r="D34" s="19" t="inlineStr">
        <is>
          <t>Medium</t>
        </is>
      </c>
      <c r="E34" s="12" t="inlineStr">
        <is>
          <t>Negative</t>
        </is>
      </c>
      <c r="F34" s="12" t="inlineStr">
        <is>
          <t>Logged in. On the form. A non-image file available; accept filter is image/png,image/jpeg.</t>
        </is>
      </c>
      <c r="G34" s="12" t="inlineStr">
        <is>
          <t>1. Click upload; in the OS file picker switch to 'All files' and pick a .pdf/.txt.
2. Observe the result.</t>
        </is>
      </c>
      <c r="H34" s="12" t="inlineStr">
        <is>
          <t>notes.txt</t>
        </is>
      </c>
      <c r="I34" s="12" t="inlineStr">
        <is>
          <t>If a non-image slips past the accept filter, the handler shows 'File must be a PNG or JPG image' and no preview is set. The accept attribute should normally restrict the picker to PNG/JPG.</t>
        </is>
      </c>
      <c r="J34" s="12" t="inlineStr">
        <is>
          <t>N/A (client validation)</t>
        </is>
      </c>
      <c r="K34" s="14" t="inlineStr"/>
      <c r="L34" s="15" t="inlineStr">
        <is>
          <t>Not Executed</t>
        </is>
      </c>
      <c r="M34" s="15" t="inlineStr"/>
      <c r="N34" s="15" t="inlineStr"/>
      <c r="O34" s="15" t="inlineStr"/>
      <c r="P34" s="14" t="inlineStr"/>
    </row>
    <row r="35" ht="75" customHeight="1">
      <c r="A35" s="11" t="inlineStr">
        <is>
          <t>PRV-034</t>
        </is>
      </c>
      <c r="B35" s="12" t="inlineStr">
        <is>
          <t>Create Provider - Signature Upload</t>
        </is>
      </c>
      <c r="C35" s="12" t="inlineStr">
        <is>
          <t>Remove an uploaded signature and re-upload same file</t>
        </is>
      </c>
      <c r="D35" s="20" t="inlineStr">
        <is>
          <t>Low</t>
        </is>
      </c>
      <c r="E35" s="12" t="inlineStr">
        <is>
          <t>Functional</t>
        </is>
      </c>
      <c r="F35" s="12" t="inlineStr">
        <is>
          <t>Logged in. A signature already previewed in the form.</t>
        </is>
      </c>
      <c r="G35" s="12" t="inlineStr">
        <is>
          <t>1. Click 'Remove signature'.
2. Confirm the upload prompt returns.
3. Re-upload the SAME file again.</t>
        </is>
      </c>
      <c r="H35" s="12" t="inlineStr">
        <is>
          <t>signature.png</t>
        </is>
      </c>
      <c r="I35" s="12" t="inlineStr">
        <is>
          <t>Preview clears and the upload dropzone returns; signature error clears. Re-selecting the identical file still triggers onChange (input value is reset to '') and shows the preview again.</t>
        </is>
      </c>
      <c r="J35" s="12" t="inlineStr">
        <is>
          <t>N/A</t>
        </is>
      </c>
      <c r="K35" s="14" t="inlineStr"/>
      <c r="L35" s="15" t="inlineStr">
        <is>
          <t>Not Executed</t>
        </is>
      </c>
      <c r="M35" s="15" t="inlineStr"/>
      <c r="N35" s="15" t="inlineStr"/>
      <c r="O35" s="15" t="inlineStr"/>
      <c r="P35" s="14" t="inlineStr"/>
    </row>
    <row r="36" ht="105" customHeight="1">
      <c r="A36" s="16" t="inlineStr">
        <is>
          <t>PRV-035</t>
        </is>
      </c>
      <c r="B36" s="17" t="inlineStr">
        <is>
          <t>Edit Provider</t>
        </is>
      </c>
      <c r="C36" s="17" t="inlineStr">
        <is>
          <t>Edit form is prefilled with existing provider data</t>
        </is>
      </c>
      <c r="D36" s="21" t="inlineStr">
        <is>
          <t>High</t>
        </is>
      </c>
      <c r="E36" s="17" t="inlineStr">
        <is>
          <t>Functional</t>
        </is>
      </c>
      <c r="F36" s="17" t="inlineStr">
        <is>
          <t>Logged in. A fully-populated provider exists.</t>
        </is>
      </c>
      <c r="G36" s="17" t="inlineStr">
        <is>
          <t>1. Open the provider's detail page, click 'Edit' (or go to /providers/{id}/edit).
2. Inspect every field.</t>
        </is>
      </c>
      <c r="H36" s="17" t="inlineStr">
        <is>
          <t>Existing provider UUID</t>
        </is>
      </c>
      <c r="I36" s="17" t="inlineStr">
        <is>
          <t>Header reads 'Edit Provider'. All form fields are pre-populated from GET /providers/{id} (full_name, specialization, license, expiry, hpr_id, qualification, designation, contact, address, consultation_duration, status). Existing signature preview shows if present.</t>
        </is>
      </c>
      <c r="J36" s="17" t="inlineStr">
        <is>
          <t>GET /api/providers/{provider_id}; GET /api/providers/specializations</t>
        </is>
      </c>
      <c r="K36" s="14" t="inlineStr"/>
      <c r="L36" s="15" t="inlineStr">
        <is>
          <t>Not Executed</t>
        </is>
      </c>
      <c r="M36" s="15" t="inlineStr"/>
      <c r="N36" s="15" t="inlineStr"/>
      <c r="O36" s="15" t="inlineStr"/>
      <c r="P36" s="14" t="inlineStr"/>
    </row>
    <row r="37" ht="60" customHeight="1">
      <c r="A37" s="16" t="inlineStr">
        <is>
          <t>PRV-036</t>
        </is>
      </c>
      <c r="B37" s="17" t="inlineStr">
        <is>
          <t>Edit Provider</t>
        </is>
      </c>
      <c r="C37" s="17" t="inlineStr">
        <is>
          <t>Update a provider field and save</t>
        </is>
      </c>
      <c r="D37" s="21" t="inlineStr">
        <is>
          <t>High</t>
        </is>
      </c>
      <c r="E37" s="17" t="inlineStr">
        <is>
          <t>Functional</t>
        </is>
      </c>
      <c r="F37" s="17" t="inlineStr">
        <is>
          <t>Logged in. On an edit form.</t>
        </is>
      </c>
      <c r="G37" s="17" t="inlineStr">
        <is>
          <t>1. Change Designation to 'Head of Palliative Care'.
2. Click 'Update Provider'.</t>
        </is>
      </c>
      <c r="H37" s="17" t="inlineStr">
        <is>
          <t>designation = Head of Palliative Care</t>
        </is>
      </c>
      <c r="I37" s="17" t="inlineStr">
        <is>
          <t>Button shows 'Saving...', PUT /providers/{id} returns 200, app navigates to /providers. Re-opening the provider shows the updated designation.</t>
        </is>
      </c>
      <c r="J37" s="17" t="inlineStr">
        <is>
          <t>PUT /api/providers/{provider_id}</t>
        </is>
      </c>
      <c r="K37" s="14" t="inlineStr"/>
      <c r="L37" s="15" t="inlineStr">
        <is>
          <t>Not Executed</t>
        </is>
      </c>
      <c r="M37" s="15" t="inlineStr"/>
      <c r="N37" s="15" t="inlineStr"/>
      <c r="O37" s="15" t="inlineStr"/>
      <c r="P37" s="14" t="inlineStr"/>
    </row>
    <row r="38" ht="75" customHeight="1">
      <c r="A38" s="16" t="inlineStr">
        <is>
          <t>PRV-037</t>
        </is>
      </c>
      <c r="B38" s="17" t="inlineStr">
        <is>
          <t>Edit Provider</t>
        </is>
      </c>
      <c r="C38" s="17" t="inlineStr">
        <is>
          <t>Change status from Active to Inactive via form</t>
        </is>
      </c>
      <c r="D38" s="21" t="inlineStr">
        <is>
          <t>High</t>
        </is>
      </c>
      <c r="E38" s="17" t="inlineStr">
        <is>
          <t>Functional</t>
        </is>
      </c>
      <c r="F38" s="17" t="inlineStr">
        <is>
          <t>Logged in. Editing an active provider.</t>
        </is>
      </c>
      <c r="G38" s="17" t="inlineStr">
        <is>
          <t>1. In the Status card set Active Status = 'Inactive'.
2. Click 'Update Provider'.
3. On the list, set Status filter to Inactive and verify.</t>
        </is>
      </c>
      <c r="H38" s="17" t="inlineStr">
        <is>
          <t>is_active = false</t>
        </is>
      </c>
      <c r="I38" s="17" t="inlineStr">
        <is>
          <t>PUT sends is_active=false; provider now shows the grey Inactive badge and appears under the Inactive status filter, not under Active.</t>
        </is>
      </c>
      <c r="J38" s="17" t="inlineStr">
        <is>
          <t>PUT /api/providers/{provider_id}</t>
        </is>
      </c>
      <c r="K38" s="14" t="inlineStr"/>
      <c r="L38" s="15" t="inlineStr">
        <is>
          <t>Not Executed</t>
        </is>
      </c>
      <c r="M38" s="15" t="inlineStr"/>
      <c r="N38" s="15" t="inlineStr"/>
      <c r="O38" s="15" t="inlineStr"/>
      <c r="P38" s="14" t="inlineStr"/>
    </row>
    <row r="39" ht="45" customHeight="1">
      <c r="A39" s="16" t="inlineStr">
        <is>
          <t>PRV-038</t>
        </is>
      </c>
      <c r="B39" s="17" t="inlineStr">
        <is>
          <t>Edit Provider</t>
        </is>
      </c>
      <c r="C39" s="17" t="inlineStr">
        <is>
          <t>Edit save failure surfaces server error</t>
        </is>
      </c>
      <c r="D39" s="18" t="inlineStr">
        <is>
          <t>Medium</t>
        </is>
      </c>
      <c r="E39" s="17" t="inlineStr">
        <is>
          <t>Negative</t>
        </is>
      </c>
      <c r="F39" s="17" t="inlineStr">
        <is>
          <t>Logged in. On an edit form. Ability to force PUT to fail.</t>
        </is>
      </c>
      <c r="G39" s="17" t="inlineStr">
        <is>
          <t>1. Force PUT /providers/{id} to return 400/500.
2. Make a change and click 'Update Provider'.</t>
        </is>
      </c>
      <c r="H39" s="17" t="inlineStr">
        <is>
          <t>Forced error</t>
        </is>
      </c>
      <c r="I39" s="17" t="inlineStr">
        <is>
          <t>No navigation; destructive Alert shows the API error message or fallback; form stays editable; spinner clears.</t>
        </is>
      </c>
      <c r="J39" s="17" t="inlineStr">
        <is>
          <t>PUT /api/providers/{provider_id} (forced error)</t>
        </is>
      </c>
      <c r="K39" s="14" t="inlineStr"/>
      <c r="L39" s="15" t="inlineStr">
        <is>
          <t>Not Executed</t>
        </is>
      </c>
      <c r="M39" s="15" t="inlineStr"/>
      <c r="N39" s="15" t="inlineStr"/>
      <c r="O39" s="15" t="inlineStr"/>
      <c r="P39" s="14" t="inlineStr"/>
    </row>
    <row r="40" ht="165" customHeight="1">
      <c r="A40" s="11" t="inlineStr">
        <is>
          <t>PRV-039</t>
        </is>
      </c>
      <c r="B40" s="12" t="inlineStr">
        <is>
          <t>Provider Detail</t>
        </is>
      </c>
      <c r="C40" s="12" t="inlineStr">
        <is>
          <t>Detail page renders all info sections for a complete provider</t>
        </is>
      </c>
      <c r="D40" s="13" t="inlineStr">
        <is>
          <t>High</t>
        </is>
      </c>
      <c r="E40" s="12" t="inlineStr">
        <is>
          <t>Functional</t>
        </is>
      </c>
      <c r="F40" s="12" t="inlineStr">
        <is>
          <t>Logged in. A provider with most fields populated (incl. teleconsult, languages, fee, bio, stats).</t>
        </is>
      </c>
      <c r="G40" s="12" t="inlineStr">
        <is>
          <t>1. Open /providers/{id}.
2. Review the header, badges, Basic Information, Contact Information, Bio, and Stats sections.</t>
        </is>
      </c>
      <c r="H40" s="12" t="inlineStr">
        <is>
          <t>Fully populated provider UUID</t>
        </is>
      </c>
      <c r="I40" s="12" t="inlineStr">
        <is>
          <t>Header shows full_name + specialization. Active/Inactive badge shown; 'Teleconsultation Available' badge appears only if available_for_teleconsult is true. Basic Info shows specialization, license_number, hpr_id, qualification, years_of_experience (when present). Contact shows email, phone, clinic_address, consultation_fee (₹), languages joined by comma. Bio renders if present. Stats show Total/Upcoming/Completed/Cancelled appointment counts (0 when absent).</t>
        </is>
      </c>
      <c r="J40" s="12" t="inlineStr">
        <is>
          <t>GET /api/providers/{provider_id}; GET /api/providers/{provider_id}/schedule</t>
        </is>
      </c>
      <c r="K40" s="14" t="inlineStr"/>
      <c r="L40" s="15" t="inlineStr">
        <is>
          <t>Not Executed</t>
        </is>
      </c>
      <c r="M40" s="15" t="inlineStr"/>
      <c r="N40" s="15" t="inlineStr"/>
      <c r="O40" s="15" t="inlineStr"/>
      <c r="P40" s="14" t="inlineStr"/>
    </row>
    <row r="41" ht="90" customHeight="1">
      <c r="A41" s="11" t="inlineStr">
        <is>
          <t>PRV-040</t>
        </is>
      </c>
      <c r="B41" s="12" t="inlineStr">
        <is>
          <t>Provider Detail</t>
        </is>
      </c>
      <c r="C41" s="12" t="inlineStr">
        <is>
          <t>Optional fields are hidden when empty</t>
        </is>
      </c>
      <c r="D41" s="20" t="inlineStr">
        <is>
          <t>Low</t>
        </is>
      </c>
      <c r="E41" s="12" t="inlineStr">
        <is>
          <t>UI/UX</t>
        </is>
      </c>
      <c r="F41" s="12" t="inlineStr">
        <is>
          <t>Logged in. A minimally-populated provider (only name + specialization).</t>
        </is>
      </c>
      <c r="G41" s="12" t="inlineStr">
        <is>
          <t>1. Open /providers/{id} for the minimal provider.
2. Confirm absent fields are not rendered.</t>
        </is>
      </c>
      <c r="H41" s="12" t="inlineStr">
        <is>
          <t>Minimal provider UUID</t>
        </is>
      </c>
      <c r="I41" s="12" t="inlineStr">
        <is>
          <t>Sections/rows for license, hpr_id, qualification, experience, email, phone, address, fee, languages, bio, teleconsult badge, and stats are conditionally hidden when the underlying values are empty/absent (no empty labels or stray 'undefined').</t>
        </is>
      </c>
      <c r="J41" s="12" t="inlineStr">
        <is>
          <t>GET /api/providers/{provider_id}</t>
        </is>
      </c>
      <c r="K41" s="14" t="inlineStr"/>
      <c r="L41" s="15" t="inlineStr">
        <is>
          <t>Not Executed</t>
        </is>
      </c>
      <c r="M41" s="15" t="inlineStr"/>
      <c r="N41" s="15" t="inlineStr"/>
      <c r="O41" s="15" t="inlineStr"/>
      <c r="P41" s="14" t="inlineStr"/>
    </row>
    <row r="42" ht="30" customHeight="1">
      <c r="A42" s="11" t="inlineStr">
        <is>
          <t>PRV-041</t>
        </is>
      </c>
      <c r="B42" s="12" t="inlineStr">
        <is>
          <t>Provider Detail</t>
        </is>
      </c>
      <c r="C42" s="12" t="inlineStr">
        <is>
          <t>Back button returns to providers list</t>
        </is>
      </c>
      <c r="D42" s="20" t="inlineStr">
        <is>
          <t>Low</t>
        </is>
      </c>
      <c r="E42" s="12" t="inlineStr">
        <is>
          <t>Functional</t>
        </is>
      </c>
      <c r="F42" s="12" t="inlineStr">
        <is>
          <t>Logged in. On a detail page.</t>
        </is>
      </c>
      <c r="G42" s="12" t="inlineStr">
        <is>
          <t>1. Click the 'Back' button in the header.</t>
        </is>
      </c>
      <c r="H42" s="12" t="inlineStr">
        <is>
          <t>N/A</t>
        </is>
      </c>
      <c r="I42" s="12" t="inlineStr">
        <is>
          <t>Navigates to /providers.</t>
        </is>
      </c>
      <c r="J42" s="12" t="inlineStr">
        <is>
          <t>N/A</t>
        </is>
      </c>
      <c r="K42" s="14" t="inlineStr"/>
      <c r="L42" s="15" t="inlineStr">
        <is>
          <t>Not Executed</t>
        </is>
      </c>
      <c r="M42" s="15" t="inlineStr"/>
      <c r="N42" s="15" t="inlineStr"/>
      <c r="O42" s="15" t="inlineStr"/>
      <c r="P42" s="14" t="inlineStr"/>
    </row>
    <row r="43" ht="30" customHeight="1">
      <c r="A43" s="11" t="inlineStr">
        <is>
          <t>PRV-042</t>
        </is>
      </c>
      <c r="B43" s="12" t="inlineStr">
        <is>
          <t>Provider Detail</t>
        </is>
      </c>
      <c r="C43" s="12" t="inlineStr">
        <is>
          <t>Edit button from detail opens edit form</t>
        </is>
      </c>
      <c r="D43" s="19" t="inlineStr">
        <is>
          <t>Medium</t>
        </is>
      </c>
      <c r="E43" s="12" t="inlineStr">
        <is>
          <t>Functional</t>
        </is>
      </c>
      <c r="F43" s="12" t="inlineStr">
        <is>
          <t>Logged in. On a detail page.</t>
        </is>
      </c>
      <c r="G43" s="12" t="inlineStr">
        <is>
          <t>1. Click the 'Edit' button.</t>
        </is>
      </c>
      <c r="H43" s="12" t="inlineStr">
        <is>
          <t>N/A</t>
        </is>
      </c>
      <c r="I43" s="12" t="inlineStr">
        <is>
          <t>Navigates to /providers/{id}/edit with the prefilled form.</t>
        </is>
      </c>
      <c r="J43" s="12" t="inlineStr">
        <is>
          <t>GET /api/providers/{provider_id}</t>
        </is>
      </c>
      <c r="K43" s="14" t="inlineStr"/>
      <c r="L43" s="15" t="inlineStr">
        <is>
          <t>Not Executed</t>
        </is>
      </c>
      <c r="M43" s="15" t="inlineStr"/>
      <c r="N43" s="15" t="inlineStr"/>
      <c r="O43" s="15" t="inlineStr"/>
      <c r="P43" s="14" t="inlineStr"/>
    </row>
    <row r="44" ht="75" customHeight="1">
      <c r="A44" s="11" t="inlineStr">
        <is>
          <t>PRV-043</t>
        </is>
      </c>
      <c r="B44" s="12" t="inlineStr">
        <is>
          <t>Provider Detail</t>
        </is>
      </c>
      <c r="C44" s="12" t="inlineStr">
        <is>
          <t>Deactivate provider - confirm dialog and success</t>
        </is>
      </c>
      <c r="D44" s="13" t="inlineStr">
        <is>
          <t>High</t>
        </is>
      </c>
      <c r="E44" s="12" t="inlineStr">
        <is>
          <t>Functional</t>
        </is>
      </c>
      <c r="F44" s="12" t="inlineStr">
        <is>
          <t>Logged in. On an active provider's detail page that is safe to deactivate.</t>
        </is>
      </c>
      <c r="G44" s="12" t="inlineStr">
        <is>
          <t>1. Click the red 'Deactivate' button.
2. In the browser confirm dialog 'Are you sure you want to deactivate this provider?' click OK.</t>
        </is>
      </c>
      <c r="H44" s="12" t="inlineStr">
        <is>
          <t>Test provider UUID</t>
        </is>
      </c>
      <c r="I44" s="12" t="inlineStr">
        <is>
          <t>DELETE /providers/{id} returns 200 (soft delete) and the app navigates to /providers. The provider no longer appears under the Active filter but is visible under Inactive.</t>
        </is>
      </c>
      <c r="J44" s="12" t="inlineStr">
        <is>
          <t>DELETE /api/providers/{provider_id}</t>
        </is>
      </c>
      <c r="K44" s="14" t="inlineStr"/>
      <c r="L44" s="15" t="inlineStr">
        <is>
          <t>Not Executed</t>
        </is>
      </c>
      <c r="M44" s="15" t="inlineStr"/>
      <c r="N44" s="15" t="inlineStr"/>
      <c r="O44" s="15" t="inlineStr"/>
      <c r="P44" s="14" t="inlineStr"/>
    </row>
    <row r="45" ht="30" customHeight="1">
      <c r="A45" s="11" t="inlineStr">
        <is>
          <t>PRV-044</t>
        </is>
      </c>
      <c r="B45" s="12" t="inlineStr">
        <is>
          <t>Provider Detail</t>
        </is>
      </c>
      <c r="C45" s="12" t="inlineStr">
        <is>
          <t>Cancel the Deactivate confirmation</t>
        </is>
      </c>
      <c r="D45" s="19" t="inlineStr">
        <is>
          <t>Medium</t>
        </is>
      </c>
      <c r="E45" s="12" t="inlineStr">
        <is>
          <t>Functional</t>
        </is>
      </c>
      <c r="F45" s="12" t="inlineStr">
        <is>
          <t>Logged in. On a provider detail page.</t>
        </is>
      </c>
      <c r="G45" s="12" t="inlineStr">
        <is>
          <t>1. Click 'Deactivate'.
2. In the confirm dialog click Cancel.</t>
        </is>
      </c>
      <c r="H45" s="12" t="inlineStr">
        <is>
          <t>N/A</t>
        </is>
      </c>
      <c r="I45" s="12" t="inlineStr">
        <is>
          <t>No DELETE request is sent; provider remains active; user stays on the detail page.</t>
        </is>
      </c>
      <c r="J45" s="12" t="inlineStr">
        <is>
          <t>N/A (no DELETE)</t>
        </is>
      </c>
      <c r="K45" s="14" t="inlineStr"/>
      <c r="L45" s="15" t="inlineStr">
        <is>
          <t>Not Executed</t>
        </is>
      </c>
      <c r="M45" s="15" t="inlineStr"/>
      <c r="N45" s="15" t="inlineStr"/>
      <c r="O45" s="15" t="inlineStr"/>
      <c r="P45" s="14" t="inlineStr"/>
    </row>
    <row r="46" ht="45" customHeight="1">
      <c r="A46" s="11" t="inlineStr">
        <is>
          <t>PRV-045</t>
        </is>
      </c>
      <c r="B46" s="12" t="inlineStr">
        <is>
          <t>Provider Detail</t>
        </is>
      </c>
      <c r="C46" s="12" t="inlineStr">
        <is>
          <t>Deactivate failure shows alert</t>
        </is>
      </c>
      <c r="D46" s="19" t="inlineStr">
        <is>
          <t>Medium</t>
        </is>
      </c>
      <c r="E46" s="12" t="inlineStr">
        <is>
          <t>Negative</t>
        </is>
      </c>
      <c r="F46" s="12" t="inlineStr">
        <is>
          <t>Logged in. On a detail page. Ability to force DELETE to fail.</t>
        </is>
      </c>
      <c r="G46" s="12" t="inlineStr">
        <is>
          <t>1. Force DELETE /providers/{id} to return 500.
2. Click 'Deactivate' and confirm OK.</t>
        </is>
      </c>
      <c r="H46" s="12" t="inlineStr">
        <is>
          <t>Forced 500</t>
        </is>
      </c>
      <c r="I46" s="12" t="inlineStr">
        <is>
          <t>A browser alert 'Failed to deactivate provider' is shown; user stays on the detail page; provider not deactivated.</t>
        </is>
      </c>
      <c r="J46" s="12" t="inlineStr">
        <is>
          <t>DELETE /api/providers/{provider_id} (forced error)</t>
        </is>
      </c>
      <c r="K46" s="14" t="inlineStr"/>
      <c r="L46" s="15" t="inlineStr">
        <is>
          <t>Not Executed</t>
        </is>
      </c>
      <c r="M46" s="15" t="inlineStr"/>
      <c r="N46" s="15" t="inlineStr"/>
      <c r="O46" s="15" t="inlineStr"/>
      <c r="P46" s="14" t="inlineStr"/>
    </row>
    <row r="47" ht="90" customHeight="1">
      <c r="A47" s="11" t="inlineStr">
        <is>
          <t>PRV-046</t>
        </is>
      </c>
      <c r="B47" s="12" t="inlineStr">
        <is>
          <t>Provider Detail</t>
        </is>
      </c>
      <c r="C47" s="12" t="inlineStr">
        <is>
          <t>Appointments tab renders embedded appointment list</t>
        </is>
      </c>
      <c r="D47" s="19" t="inlineStr">
        <is>
          <t>Medium</t>
        </is>
      </c>
      <c r="E47" s="12" t="inlineStr">
        <is>
          <t>Functional</t>
        </is>
      </c>
      <c r="F47" s="12" t="inlineStr">
        <is>
          <t>Logged in. A provider with appointments.</t>
        </is>
      </c>
      <c r="G47" s="12" t="inlineStr">
        <is>
          <t>1. Open /providers/{id}.
2. Ensure the 'Appointments' tab is selected (default).
3. Observe the appointment list.</t>
        </is>
      </c>
      <c r="H47" s="12" t="inlineStr">
        <is>
          <t>Provider with appointments</t>
        </is>
      </c>
      <c r="I47" s="12" t="inlineStr">
        <is>
          <t>AppointmentList renders filtered to this providerId with defaultView='upcoming' and filters shown. Clicking an appointment opens the AppointmentDetailsModal. (Deep appointment logic is covered by the Scheduling pack.)</t>
        </is>
      </c>
      <c r="J47" s="12" t="inlineStr">
        <is>
          <t>GET /api/providers/{provider_id}/appointments (via AppointmentList)</t>
        </is>
      </c>
      <c r="K47" s="14" t="inlineStr"/>
      <c r="L47" s="15" t="inlineStr">
        <is>
          <t>Not Executed</t>
        </is>
      </c>
      <c r="M47" s="15" t="inlineStr"/>
      <c r="N47" s="15" t="inlineStr"/>
      <c r="O47" s="15" t="inlineStr"/>
      <c r="P47" s="14" t="inlineStr"/>
    </row>
    <row r="48" ht="60" customHeight="1">
      <c r="A48" s="11" t="inlineStr">
        <is>
          <t>PRV-047</t>
        </is>
      </c>
      <c r="B48" s="12" t="inlineStr">
        <is>
          <t>Provider Detail</t>
        </is>
      </c>
      <c r="C48" s="12" t="inlineStr">
        <is>
          <t>Appointment modal update refreshes provider detail</t>
        </is>
      </c>
      <c r="D48" s="20" t="inlineStr">
        <is>
          <t>Low</t>
        </is>
      </c>
      <c r="E48" s="12" t="inlineStr">
        <is>
          <t>Data Integrity</t>
        </is>
      </c>
      <c r="F48" s="12" t="inlineStr">
        <is>
          <t>Logged in. Provider with at least one appointment.</t>
        </is>
      </c>
      <c r="G48" s="12" t="inlineStr">
        <is>
          <t>1. Open the Appointments tab and click an appointment.
2. Perform an update in the AppointmentDetailsModal that triggers onUpdate, then close.</t>
        </is>
      </c>
      <c r="H48" s="12" t="inlineStr">
        <is>
          <t>N/A</t>
        </is>
      </c>
      <c r="I48" s="12" t="inlineStr">
        <is>
          <t>On modal update the detail page refreshKey increments, re-fetching provider + schedule so stats reflect the change.</t>
        </is>
      </c>
      <c r="J48" s="12" t="inlineStr">
        <is>
          <t>GET /api/providers/{provider_id}; GET /api/providers/{provider_id}/schedule</t>
        </is>
      </c>
      <c r="K48" s="14" t="inlineStr"/>
      <c r="L48" s="15" t="inlineStr">
        <is>
          <t>Not Executed</t>
        </is>
      </c>
      <c r="M48" s="15" t="inlineStr"/>
      <c r="N48" s="15" t="inlineStr"/>
      <c r="O48" s="15" t="inlineStr"/>
      <c r="P48" s="14" t="inlineStr"/>
    </row>
    <row r="49" ht="60" customHeight="1">
      <c r="A49" s="11" t="inlineStr">
        <is>
          <t>PRV-048</t>
        </is>
      </c>
      <c r="B49" s="12" t="inlineStr">
        <is>
          <t>Provider Detail</t>
        </is>
      </c>
      <c r="C49" s="12" t="inlineStr">
        <is>
          <t>Schedule tab shows weekly schedule preview when defined</t>
        </is>
      </c>
      <c r="D49" s="19" t="inlineStr">
        <is>
          <t>Medium</t>
        </is>
      </c>
      <c r="E49" s="12" t="inlineStr">
        <is>
          <t>Functional</t>
        </is>
      </c>
      <c r="F49" s="12" t="inlineStr">
        <is>
          <t>Logged in. Provider WITH a weekly schedule.</t>
        </is>
      </c>
      <c r="G49" s="12" t="inlineStr">
        <is>
          <t>1. Open /providers/{id} and switch to the 'Schedule' tab.</t>
        </is>
      </c>
      <c r="H49" s="12" t="inlineStr">
        <is>
          <t>Provider with schedule</t>
        </is>
      </c>
      <c r="I49" s="12" t="inlineStr">
        <is>
          <t>Each scheduled day shows day_name, start_time–end_time (HH:MM, seconds trimmed) and a '&lt;n&gt; min slots' badge. A 'Manage Schedule' button is present.</t>
        </is>
      </c>
      <c r="J49" s="12" t="inlineStr">
        <is>
          <t>GET /api/providers/{provider_id}/schedule</t>
        </is>
      </c>
      <c r="K49" s="14" t="inlineStr"/>
      <c r="L49" s="15" t="inlineStr">
        <is>
          <t>Not Executed</t>
        </is>
      </c>
      <c r="M49" s="15" t="inlineStr"/>
      <c r="N49" s="15" t="inlineStr"/>
      <c r="O49" s="15" t="inlineStr"/>
      <c r="P49" s="14" t="inlineStr"/>
    </row>
    <row r="50" ht="75" customHeight="1">
      <c r="A50" s="11" t="inlineStr">
        <is>
          <t>PRV-049</t>
        </is>
      </c>
      <c r="B50" s="12" t="inlineStr">
        <is>
          <t>Provider Detail</t>
        </is>
      </c>
      <c r="C50" s="12" t="inlineStr">
        <is>
          <t>Schedule tab empty state and Setup Schedule</t>
        </is>
      </c>
      <c r="D50" s="19" t="inlineStr">
        <is>
          <t>Medium</t>
        </is>
      </c>
      <c r="E50" s="12" t="inlineStr">
        <is>
          <t>UI/UX</t>
        </is>
      </c>
      <c r="F50" s="12" t="inlineStr">
        <is>
          <t>Logged in. Provider WITHOUT any schedule.</t>
        </is>
      </c>
      <c r="G50" s="12" t="inlineStr">
        <is>
          <t>1. Open /providers/{id} (no schedule) and switch to the 'Schedule' tab.
2. Click 'Setup Schedule'.</t>
        </is>
      </c>
      <c r="H50" s="12" t="inlineStr">
        <is>
          <t>Provider without schedule</t>
        </is>
      </c>
      <c r="I50" s="12" t="inlineStr">
        <is>
          <t>Empty state shows clock icon, 'No Schedule Defined', helper text and a 'Setup Schedule' button. Clicking it (or 'Manage Schedule') navigates to /providers/{id}/schedule.</t>
        </is>
      </c>
      <c r="J50" s="12" t="inlineStr">
        <is>
          <t>GET /api/providers/{provider_id}/schedule</t>
        </is>
      </c>
      <c r="K50" s="14" t="inlineStr"/>
      <c r="L50" s="15" t="inlineStr">
        <is>
          <t>Not Executed</t>
        </is>
      </c>
      <c r="M50" s="15" t="inlineStr"/>
      <c r="N50" s="15" t="inlineStr"/>
      <c r="O50" s="15" t="inlineStr"/>
      <c r="P50" s="14" t="inlineStr"/>
    </row>
    <row r="51" ht="75" customHeight="1">
      <c r="A51" s="11" t="inlineStr">
        <is>
          <t>PRV-050</t>
        </is>
      </c>
      <c r="B51" s="12" t="inlineStr">
        <is>
          <t>Provider Detail</t>
        </is>
      </c>
      <c r="C51" s="12" t="inlineStr">
        <is>
          <t>Non-existent (valid UUID) provider shows not-found state</t>
        </is>
      </c>
      <c r="D51" s="13" t="inlineStr">
        <is>
          <t>High</t>
        </is>
      </c>
      <c r="E51" s="12" t="inlineStr">
        <is>
          <t>Negative</t>
        </is>
      </c>
      <c r="F51" s="12" t="inlineStr">
        <is>
          <t>Logged in. Have a valid-format UUID that does not exist.</t>
        </is>
      </c>
      <c r="G51" s="12" t="inlineStr">
        <is>
          <t>1. Navigate to /providers/00000000-0000-0000-0000-000000000000.</t>
        </is>
      </c>
      <c r="H51" s="12" t="inlineStr">
        <is>
          <t>id = 00000000-0000-0000-0000-000000000000</t>
        </is>
      </c>
      <c r="I51" s="12" t="inlineStr">
        <is>
          <t>GET /providers/{id} returns 404. The page shows a 'Back to Providers' button and a destructive Alert 'Provider not found' (or 'Failed to load provider details'). No crash.</t>
        </is>
      </c>
      <c r="J51" s="12" t="inlineStr">
        <is>
          <t>GET /api/providers/{provider_id} (404)</t>
        </is>
      </c>
      <c r="K51" s="14" t="inlineStr"/>
      <c r="L51" s="15" t="inlineStr">
        <is>
          <t>Not Executed</t>
        </is>
      </c>
      <c r="M51" s="15" t="inlineStr"/>
      <c r="N51" s="15" t="inlineStr"/>
      <c r="O51" s="15" t="inlineStr"/>
      <c r="P51" s="14" t="inlineStr"/>
    </row>
    <row r="52" ht="75" customHeight="1">
      <c r="A52" s="11" t="inlineStr">
        <is>
          <t>PRV-051</t>
        </is>
      </c>
      <c r="B52" s="12" t="inlineStr">
        <is>
          <t>Provider Detail</t>
        </is>
      </c>
      <c r="C52" s="12" t="inlineStr">
        <is>
          <t>Malformed provider id in URL</t>
        </is>
      </c>
      <c r="D52" s="19" t="inlineStr">
        <is>
          <t>Medium</t>
        </is>
      </c>
      <c r="E52" s="12" t="inlineStr">
        <is>
          <t>Edge Case</t>
        </is>
      </c>
      <c r="F52" s="12" t="inlineStr">
        <is>
          <t>Logged in.</t>
        </is>
      </c>
      <c r="G52" s="12" t="inlineStr">
        <is>
          <t>1. Navigate to /providers/abc123 (not a UUID).</t>
        </is>
      </c>
      <c r="H52" s="12" t="inlineStr">
        <is>
          <t>id = abc123</t>
        </is>
      </c>
      <c r="I52" s="12" t="inlineStr">
        <is>
          <t>Backend &lt;uuid:provider_id&gt; route does not match a non-UUID; the GET returns 404 (or a routing 404). The detail page degrades gracefully to the error/not-found state rather than crashing.</t>
        </is>
      </c>
      <c r="J52" s="12" t="inlineStr">
        <is>
          <t>GET /api/providers/abc123 (404)</t>
        </is>
      </c>
      <c r="K52" s="14" t="inlineStr"/>
      <c r="L52" s="15" t="inlineStr">
        <is>
          <t>Not Executed</t>
        </is>
      </c>
      <c r="M52" s="15" t="inlineStr"/>
      <c r="N52" s="15" t="inlineStr"/>
      <c r="O52" s="15" t="inlineStr"/>
      <c r="P52" s="14" t="inlineStr"/>
    </row>
    <row r="53" ht="60" customHeight="1">
      <c r="A53" s="11" t="inlineStr">
        <is>
          <t>PRV-052</t>
        </is>
      </c>
      <c r="B53" s="12" t="inlineStr">
        <is>
          <t>Provider Detail</t>
        </is>
      </c>
      <c r="C53" s="12" t="inlineStr">
        <is>
          <t>Detail page loading spinner appears before data</t>
        </is>
      </c>
      <c r="D53" s="20" t="inlineStr">
        <is>
          <t>Low</t>
        </is>
      </c>
      <c r="E53" s="12" t="inlineStr">
        <is>
          <t>UI/UX</t>
        </is>
      </c>
      <c r="F53" s="12" t="inlineStr">
        <is>
          <t>Logged in. Throttle network in DevTools (Slow 3G).</t>
        </is>
      </c>
      <c r="G53" s="12" t="inlineStr">
        <is>
          <t>1. Open /providers/{id} under throttling.
2. Observe the page before data arrives.</t>
        </is>
      </c>
      <c r="H53" s="12" t="inlineStr">
        <is>
          <t>N/A</t>
        </is>
      </c>
      <c r="I53" s="12" t="inlineStr">
        <is>
          <t>A centered spinner with 'Loading provider details...' is shown until both provider and schedule fetches resolve, then the detail renders.</t>
        </is>
      </c>
      <c r="J53" s="12" t="inlineStr">
        <is>
          <t>GET /api/providers/{provider_id}; GET /api/providers/{provider_id}/schedule</t>
        </is>
      </c>
      <c r="K53" s="14" t="inlineStr"/>
      <c r="L53" s="15" t="inlineStr">
        <is>
          <t>Not Executed</t>
        </is>
      </c>
      <c r="M53" s="15" t="inlineStr"/>
      <c r="N53" s="15" t="inlineStr"/>
      <c r="O53" s="15" t="inlineStr"/>
      <c r="P53" s="14" t="inlineStr"/>
    </row>
    <row r="54" ht="75" customHeight="1">
      <c r="A54" s="16" t="inlineStr">
        <is>
          <t>PRV-053</t>
        </is>
      </c>
      <c r="B54" s="17" t="inlineStr">
        <is>
          <t>API</t>
        </is>
      </c>
      <c r="C54" s="17" t="inlineStr">
        <is>
          <t>Signature upload endpoint accepts valid image (multipart)</t>
        </is>
      </c>
      <c r="D54" s="22" t="inlineStr">
        <is>
          <t>Low</t>
        </is>
      </c>
      <c r="E54" s="17" t="inlineStr">
        <is>
          <t>API</t>
        </is>
      </c>
      <c r="F54" s="17" t="inlineStr">
        <is>
          <t>Valid JWT. A valid provider id. A PNG file. (Endpoint exists though no provider screen calls uploadSignature directly.)</t>
        </is>
      </c>
      <c r="G54" s="17" t="inlineStr">
        <is>
          <t>1. Send POST /api/providers/{id}/signature as multipart/form-data with field 'signature' = valid PNG.
2. Inspect the JSON response.</t>
        </is>
      </c>
      <c r="H54" s="17" t="inlineStr">
        <is>
          <t>signature.png (&lt;5MB)</t>
        </is>
      </c>
      <c r="I54" s="17" t="inlineStr">
        <is>
          <t>200 with {signature_image, storage} where storage is 'cloudinary' or 'base64' and signature_image is a usable URL/data URI.</t>
        </is>
      </c>
      <c r="J54" s="17" t="inlineStr">
        <is>
          <t>POST /api/providers/{provider_id}/signature</t>
        </is>
      </c>
      <c r="K54" s="14" t="inlineStr"/>
      <c r="L54" s="15" t="inlineStr">
        <is>
          <t>Not Executed</t>
        </is>
      </c>
      <c r="M54" s="15" t="inlineStr"/>
      <c r="N54" s="15" t="inlineStr"/>
      <c r="O54" s="15" t="inlineStr"/>
      <c r="P54" s="14" t="inlineStr"/>
    </row>
    <row r="55" ht="90" customHeight="1">
      <c r="A55" s="16" t="inlineStr">
        <is>
          <t>PRV-054</t>
        </is>
      </c>
      <c r="B55" s="17" t="inlineStr">
        <is>
          <t>API</t>
        </is>
      </c>
      <c r="C55" s="17" t="inlineStr">
        <is>
          <t>Signature upload rejects wrong mime / missing file / oversize</t>
        </is>
      </c>
      <c r="D55" s="22" t="inlineStr">
        <is>
          <t>Low</t>
        </is>
      </c>
      <c r="E55" s="17" t="inlineStr">
        <is>
          <t>API</t>
        </is>
      </c>
      <c r="F55" s="17" t="inlineStr">
        <is>
          <t>Valid JWT and provider id.</t>
        </is>
      </c>
      <c r="G55" s="17" t="inlineStr">
        <is>
          <t>1. POST /signature with no file field.
2. POST /signature with a text/plain file.
3. POST /signature with an image &gt; 5MB.
4. POST /signature for a non-existent provider id.</t>
        </is>
      </c>
      <c r="H55" s="17" t="inlineStr">
        <is>
          <t>Various invalid payloads</t>
        </is>
      </c>
      <c r="I55" s="17" t="inlineStr">
        <is>
          <t>No file -&gt; 400 'signature file is required'. Wrong mime -&gt; 400 'Only PNG / JPEG / WEBP images are accepted'. Empty file -&gt; 400 'empty file'. &gt;5MB -&gt; 400 'File too large (max 5 MB)'. Non-existent provider -&gt; 404 'Provider not found'.</t>
        </is>
      </c>
      <c r="J55" s="17" t="inlineStr">
        <is>
          <t>POST /api/providers/{provider_id}/signature (400/404)</t>
        </is>
      </c>
      <c r="K55" s="14" t="inlineStr"/>
      <c r="L55" s="15" t="inlineStr">
        <is>
          <t>Not Executed</t>
        </is>
      </c>
      <c r="M55" s="15" t="inlineStr"/>
      <c r="N55" s="15" t="inlineStr"/>
      <c r="O55" s="15" t="inlineStr"/>
      <c r="P55" s="14" t="inlineStr"/>
    </row>
    <row r="56" ht="135" customHeight="1">
      <c r="A56" s="16" t="inlineStr">
        <is>
          <t>PRV-055</t>
        </is>
      </c>
      <c r="B56" s="17" t="inlineStr">
        <is>
          <t>API</t>
        </is>
      </c>
      <c r="C56" s="17" t="inlineStr">
        <is>
          <t>List endpoint parameter contract (UI limit/search vs backend per_page/q)</t>
        </is>
      </c>
      <c r="D56" s="18" t="inlineStr">
        <is>
          <t>Medium</t>
        </is>
      </c>
      <c r="E56" s="17" t="inlineStr">
        <is>
          <t>API</t>
        </is>
      </c>
      <c r="F56" s="17" t="inlineStr">
        <is>
          <t>Valid JWT. DevTools open.</t>
        </is>
      </c>
      <c r="G56" s="17" t="inlineStr">
        <is>
          <t>1. Trigger a search on /providers and capture the GET /providers request.
2. Compare params sent (limit, search, specialization, is_active) with the backend-supported params (q, specialization, department, is_active, page, per_page, sort_by, sort_order).</t>
        </is>
      </c>
      <c r="H56" s="17" t="inlineStr">
        <is>
          <t>search=Anjali</t>
        </is>
      </c>
      <c r="I56" s="17" t="inlineStr">
        <is>
          <t>Document the contract: the UI sends 'search' and 'limit' while the backend route reads 'q' and 'per_page'. Verify on the live backend whether 'search'/'limit' are honored (the service signature may differ from the route). If search appears to not filter server-side, raise as an integration defect. Response is always {providers,total,page,per_page,total_pages} with 200.</t>
        </is>
      </c>
      <c r="J56" s="17" t="inlineStr">
        <is>
          <t>GET /api/providers</t>
        </is>
      </c>
      <c r="K56" s="14" t="inlineStr"/>
      <c r="L56" s="15" t="inlineStr">
        <is>
          <t>Not Executed</t>
        </is>
      </c>
      <c r="M56" s="15" t="inlineStr"/>
      <c r="N56" s="15" t="inlineStr"/>
      <c r="O56" s="15" t="inlineStr"/>
      <c r="P56" s="14" t="inlineStr"/>
    </row>
    <row r="57" ht="60" customHeight="1">
      <c r="A57" s="16" t="inlineStr">
        <is>
          <t>PRV-056</t>
        </is>
      </c>
      <c r="B57" s="17" t="inlineStr">
        <is>
          <t>API</t>
        </is>
      </c>
      <c r="C57" s="17" t="inlineStr">
        <is>
          <t>Specializations and departments GET endpoints return arrays</t>
        </is>
      </c>
      <c r="D57" s="22" t="inlineStr">
        <is>
          <t>Low</t>
        </is>
      </c>
      <c r="E57" s="17" t="inlineStr">
        <is>
          <t>API</t>
        </is>
      </c>
      <c r="F57" s="17" t="inlineStr">
        <is>
          <t>Valid JWT.</t>
        </is>
      </c>
      <c r="G57" s="17" t="inlineStr">
        <is>
          <t>1. GET /api/providers/specializations.
2. GET /api/providers/departments.</t>
        </is>
      </c>
      <c r="H57" s="17" t="inlineStr">
        <is>
          <t>N/A</t>
        </is>
      </c>
      <c r="I57" s="17" t="inlineStr">
        <is>
          <t>Specializations returns 200 {specializations:[...]}. Departments returns 200 {departments:[...]} (used only via the API; the department UI is disabled).</t>
        </is>
      </c>
      <c r="J57" s="17" t="inlineStr">
        <is>
          <t>GET /api/providers/specializations; GET /api/providers/departments</t>
        </is>
      </c>
      <c r="K57" s="14" t="inlineStr"/>
      <c r="L57" s="15" t="inlineStr">
        <is>
          <t>Not Executed</t>
        </is>
      </c>
      <c r="M57" s="15" t="inlineStr"/>
      <c r="N57" s="15" t="inlineStr"/>
      <c r="O57" s="15" t="inlineStr"/>
      <c r="P57" s="14" t="inlineStr"/>
    </row>
    <row r="58" ht="30" customHeight="1">
      <c r="A58" s="16" t="inlineStr">
        <is>
          <t>PRV-057</t>
        </is>
      </c>
      <c r="B58" s="17" t="inlineStr">
        <is>
          <t>API</t>
        </is>
      </c>
      <c r="C58" s="17" t="inlineStr">
        <is>
          <t>Add specialization without name returns 400</t>
        </is>
      </c>
      <c r="D58" s="22" t="inlineStr">
        <is>
          <t>Low</t>
        </is>
      </c>
      <c r="E58" s="17" t="inlineStr">
        <is>
          <t>API</t>
        </is>
      </c>
      <c r="F58" s="17" t="inlineStr">
        <is>
          <t>Valid JWT.</t>
        </is>
      </c>
      <c r="G58" s="17" t="inlineStr">
        <is>
          <t>1. POST /api/providers/specializations with body {} (no name).</t>
        </is>
      </c>
      <c r="H58" s="17" t="inlineStr">
        <is>
          <t>{}</t>
        </is>
      </c>
      <c r="I58" s="17" t="inlineStr">
        <is>
          <t>400 with {error:'Specialization name is required'}.</t>
        </is>
      </c>
      <c r="J58" s="17" t="inlineStr">
        <is>
          <t>POST /api/providers/specializations (400)</t>
        </is>
      </c>
      <c r="K58" s="14" t="inlineStr"/>
      <c r="L58" s="15" t="inlineStr">
        <is>
          <t>Not Executed</t>
        </is>
      </c>
      <c r="M58" s="15" t="inlineStr"/>
      <c r="N58" s="15" t="inlineStr"/>
      <c r="O58" s="15" t="inlineStr"/>
      <c r="P58" s="14" t="inlineStr"/>
    </row>
    <row r="59" ht="30" customHeight="1">
      <c r="A59" s="16" t="inlineStr">
        <is>
          <t>PRV-058</t>
        </is>
      </c>
      <c r="B59" s="17" t="inlineStr">
        <is>
          <t>API</t>
        </is>
      </c>
      <c r="C59" s="17" t="inlineStr">
        <is>
          <t>Delete non-existent specialization returns 404</t>
        </is>
      </c>
      <c r="D59" s="22" t="inlineStr">
        <is>
          <t>Low</t>
        </is>
      </c>
      <c r="E59" s="17" t="inlineStr">
        <is>
          <t>API</t>
        </is>
      </c>
      <c r="F59" s="17" t="inlineStr">
        <is>
          <t>Valid JWT.</t>
        </is>
      </c>
      <c r="G59" s="17" t="inlineStr">
        <is>
          <t>1. DELETE /api/providers/specializations/NoSuchSpecialization.</t>
        </is>
      </c>
      <c r="H59" s="17" t="inlineStr">
        <is>
          <t>name = NoSuchSpecialization</t>
        </is>
      </c>
      <c r="I59" s="17" t="inlineStr">
        <is>
          <t>404 with {error:'...'} (ValueError mapped to 404).</t>
        </is>
      </c>
      <c r="J59" s="17" t="inlineStr">
        <is>
          <t>DELETE /api/providers/specializations/{name} (404)</t>
        </is>
      </c>
      <c r="K59" s="14" t="inlineStr"/>
      <c r="L59" s="15" t="inlineStr">
        <is>
          <t>Not Executed</t>
        </is>
      </c>
      <c r="M59" s="15" t="inlineStr"/>
      <c r="N59" s="15" t="inlineStr"/>
      <c r="O59" s="15" t="inlineStr"/>
      <c r="P59" s="14" t="inlineStr"/>
    </row>
    <row r="60" ht="45" customHeight="1">
      <c r="A60" s="16" t="inlineStr">
        <is>
          <t>PRV-059</t>
        </is>
      </c>
      <c r="B60" s="17" t="inlineStr">
        <is>
          <t>API</t>
        </is>
      </c>
      <c r="C60" s="17" t="inlineStr">
        <is>
          <t>Provider appointments endpoint pagination/filters</t>
        </is>
      </c>
      <c r="D60" s="22" t="inlineStr">
        <is>
          <t>Low</t>
        </is>
      </c>
      <c r="E60" s="17" t="inlineStr">
        <is>
          <t>API</t>
        </is>
      </c>
      <c r="F60" s="17" t="inlineStr">
        <is>
          <t>Valid JWT. Provider with several appointments across statuses/dates.</t>
        </is>
      </c>
      <c r="G60" s="17" t="inlineStr">
        <is>
          <t>1. GET /api/providers/{id}/appointments?status=completed&amp;from_date=2026-05-01&amp;to_date=2026-05-31&amp;page=1&amp;per_page=10.</t>
        </is>
      </c>
      <c r="H60" s="17" t="inlineStr">
        <is>
          <t>status=completed, date range, per_page=10</t>
        </is>
      </c>
      <c r="I60" s="17" t="inlineStr">
        <is>
          <t>200 {appointments,total,page,per_page,total_pages}; results respect status/date filters; per_page is capped at 100.</t>
        </is>
      </c>
      <c r="J60" s="17" t="inlineStr">
        <is>
          <t>GET /api/providers/{provider_id}/appointments</t>
        </is>
      </c>
      <c r="K60" s="14" t="inlineStr"/>
      <c r="L60" s="15" t="inlineStr">
        <is>
          <t>Not Executed</t>
        </is>
      </c>
      <c r="M60" s="15" t="inlineStr"/>
      <c r="N60" s="15" t="inlineStr"/>
      <c r="O60" s="15" t="inlineStr"/>
      <c r="P60" s="14" t="inlineStr"/>
    </row>
    <row r="61" ht="90" customHeight="1">
      <c r="A61" s="11" t="inlineStr">
        <is>
          <t>PRV-060</t>
        </is>
      </c>
      <c r="B61" s="12" t="inlineStr">
        <is>
          <t>Schedule Manager</t>
        </is>
      </c>
      <c r="C61" s="12" t="inlineStr">
        <is>
          <t>Schedule Manager loads existing schedule pre-filled</t>
        </is>
      </c>
      <c r="D61" s="13" t="inlineStr">
        <is>
          <t>High</t>
        </is>
      </c>
      <c r="E61" s="12" t="inlineStr">
        <is>
          <t>Functional</t>
        </is>
      </c>
      <c r="F61" s="12" t="inlineStr">
        <is>
          <t>Logged in. Provider WITH a defined schedule.</t>
        </is>
      </c>
      <c r="G61" s="12" t="inlineStr">
        <is>
          <t>1. Open /providers/{id}/schedule for a provider with a saved schedule.
2. Inspect the 7 day rows.</t>
        </is>
      </c>
      <c r="H61" s="12" t="inlineStr">
        <is>
          <t>Provider with schedule</t>
        </is>
      </c>
      <c r="I61" s="12" t="inlineStr">
        <is>
          <t>Header shows 'Schedule Manager', provider name and an Active/Inactive badge. Days that have a saved schedule are toggled ON with their start/end times (HH:MM), slot duration and capacity prefilled; other days are OFF.</t>
        </is>
      </c>
      <c r="J61" s="12" t="inlineStr">
        <is>
          <t>GET /api/providers/{provider_id}; GET /api/providers/{provider_id}/schedule</t>
        </is>
      </c>
      <c r="K61" s="14" t="inlineStr"/>
      <c r="L61" s="15" t="inlineStr">
        <is>
          <t>Not Executed</t>
        </is>
      </c>
      <c r="M61" s="15" t="inlineStr"/>
      <c r="N61" s="15" t="inlineStr"/>
      <c r="O61" s="15" t="inlineStr"/>
      <c r="P61" s="14" t="inlineStr"/>
    </row>
    <row r="62" ht="75" customHeight="1">
      <c r="A62" s="11" t="inlineStr">
        <is>
          <t>PRV-061</t>
        </is>
      </c>
      <c r="B62" s="12" t="inlineStr">
        <is>
          <t>Schedule Manager</t>
        </is>
      </c>
      <c r="C62" s="12" t="inlineStr">
        <is>
          <t>Default schedule for provider without one (Mon-Fri active)</t>
        </is>
      </c>
      <c r="D62" s="19" t="inlineStr">
        <is>
          <t>Medium</t>
        </is>
      </c>
      <c r="E62" s="12" t="inlineStr">
        <is>
          <t>Functional</t>
        </is>
      </c>
      <c r="F62" s="12" t="inlineStr">
        <is>
          <t>Logged in. Provider WITHOUT any schedule.</t>
        </is>
      </c>
      <c r="G62" s="12" t="inlineStr">
        <is>
          <t>1. Open /providers/{id}/schedule for a provider with no schedule.</t>
        </is>
      </c>
      <c r="H62" s="12" t="inlineStr">
        <is>
          <t>Provider without schedule</t>
        </is>
      </c>
      <c r="I62" s="12" t="inlineStr">
        <is>
          <t>Monday–Friday (day values 0–4) default to active with 09:00–17:00, 30-min slots, capacity 1; Saturday and Sunday default inactive showing 'Provider is not scheduled to work on this day.'</t>
        </is>
      </c>
      <c r="J62" s="12" t="inlineStr">
        <is>
          <t>GET /api/providers/{provider_id}/schedule</t>
        </is>
      </c>
      <c r="K62" s="14" t="inlineStr"/>
      <c r="L62" s="15" t="inlineStr">
        <is>
          <t>Not Executed</t>
        </is>
      </c>
      <c r="M62" s="15" t="inlineStr"/>
      <c r="N62" s="15" t="inlineStr"/>
      <c r="O62" s="15" t="inlineStr"/>
      <c r="P62" s="14" t="inlineStr"/>
    </row>
    <row r="63" ht="90" customHeight="1">
      <c r="A63" s="11" t="inlineStr">
        <is>
          <t>PRV-062</t>
        </is>
      </c>
      <c r="B63" s="12" t="inlineStr">
        <is>
          <t>Schedule Manager</t>
        </is>
      </c>
      <c r="C63" s="12" t="inlineStr">
        <is>
          <t>Toggle a day on/off reveals/hides its time and config fields</t>
        </is>
      </c>
      <c r="D63" s="13" t="inlineStr">
        <is>
          <t>High</t>
        </is>
      </c>
      <c r="E63" s="12" t="inlineStr">
        <is>
          <t>Functional</t>
        </is>
      </c>
      <c r="F63" s="12" t="inlineStr">
        <is>
          <t>Logged in. On the Schedule Manager.</t>
        </is>
      </c>
      <c r="G63" s="12" t="inlineStr">
        <is>
          <t>1. Toggle Saturday ON.
2. Toggle an active day (e.g., Wednesday) OFF.</t>
        </is>
      </c>
      <c r="H63" s="12" t="inlineStr">
        <is>
          <t>N/A</t>
        </is>
      </c>
      <c r="I63" s="12" t="inlineStr">
        <is>
          <t>Turning a day ON reveals start/end time inputs, slot Duration select, Capacity/Slot input and 'Apply to All Active Days'. Turning a day OFF hides those and shows the 'not scheduled' italic note; the row styling changes (active rows highlighted).</t>
        </is>
      </c>
      <c r="J63" s="12" t="inlineStr">
        <is>
          <t>N/A (state only until Save)</t>
        </is>
      </c>
      <c r="K63" s="14" t="inlineStr"/>
      <c r="L63" s="15" t="inlineStr">
        <is>
          <t>Not Executed</t>
        </is>
      </c>
      <c r="M63" s="15" t="inlineStr"/>
      <c r="N63" s="15" t="inlineStr"/>
      <c r="O63" s="15" t="inlineStr"/>
      <c r="P63" s="14" t="inlineStr"/>
    </row>
    <row r="64" ht="75" customHeight="1">
      <c r="A64" s="11" t="inlineStr">
        <is>
          <t>PRV-063</t>
        </is>
      </c>
      <c r="B64" s="12" t="inlineStr">
        <is>
          <t>Schedule Manager</t>
        </is>
      </c>
      <c r="C64" s="12" t="inlineStr">
        <is>
          <t>Edit working hours, slot duration, and capacity for a day</t>
        </is>
      </c>
      <c r="D64" s="13" t="inlineStr">
        <is>
          <t>High</t>
        </is>
      </c>
      <c r="E64" s="12" t="inlineStr">
        <is>
          <t>Functional</t>
        </is>
      </c>
      <c r="F64" s="12" t="inlineStr">
        <is>
          <t>Logged in. On the Schedule Manager with Monday active.</t>
        </is>
      </c>
      <c r="G64" s="12" t="inlineStr">
        <is>
          <t>1. For Monday set Start 10:00, End 16:00.
2. Set Duration = 45 min from the dropdown.
3. Set Capacity/Slot = 2.</t>
        </is>
      </c>
      <c r="H64" s="12" t="inlineStr">
        <is>
          <t>Mon 10:00-16:00, 45 min, cap 2</t>
        </is>
      </c>
      <c r="I64" s="12" t="inlineStr">
        <is>
          <t>Inputs accept the values and reflect them in the row state. Duration dropdown offers 15/20/30/45/60. Capacity input is bounded min 1 max 10 (and defaults to 1 if cleared).</t>
        </is>
      </c>
      <c r="J64" s="12" t="inlineStr">
        <is>
          <t>N/A (state only until Save)</t>
        </is>
      </c>
      <c r="K64" s="14" t="inlineStr"/>
      <c r="L64" s="15" t="inlineStr">
        <is>
          <t>Not Executed</t>
        </is>
      </c>
      <c r="M64" s="15" t="inlineStr"/>
      <c r="N64" s="15" t="inlineStr"/>
      <c r="O64" s="15" t="inlineStr"/>
      <c r="P64" s="14" t="inlineStr"/>
    </row>
    <row r="65" ht="90" customHeight="1">
      <c r="A65" s="11" t="inlineStr">
        <is>
          <t>PRV-064</t>
        </is>
      </c>
      <c r="B65" s="12" t="inlineStr">
        <is>
          <t>Schedule Manager</t>
        </is>
      </c>
      <c r="C65" s="12" t="inlineStr">
        <is>
          <t>Apply to All Active Days copies settings</t>
        </is>
      </c>
      <c r="D65" s="19" t="inlineStr">
        <is>
          <t>Medium</t>
        </is>
      </c>
      <c r="E65" s="12" t="inlineStr">
        <is>
          <t>Functional</t>
        </is>
      </c>
      <c r="F65" s="12" t="inlineStr">
        <is>
          <t>Logged in. Schedule Manager with multiple active days.</t>
        </is>
      </c>
      <c r="G65" s="12" t="inlineStr">
        <is>
          <t>1. Set Monday to 08:00–14:00, 20 min, capacity 3.
2. Ensure Tue/Wed/Thu are active.
3. Click 'Apply to All Active Days' on the Monday row.
4. Inspect the other active days.</t>
        </is>
      </c>
      <c r="H65" s="12" t="inlineStr">
        <is>
          <t>Source = Monday 08:00-14:00 / 20 min / 3</t>
        </is>
      </c>
      <c r="I65" s="12" t="inlineStr">
        <is>
          <t>All OTHER active days copy Monday's start_time, end_time, slot_duration and max_appointments_per_slot. Inactive days are unchanged; the source day (Monday) is unchanged.</t>
        </is>
      </c>
      <c r="J65" s="12" t="inlineStr">
        <is>
          <t>N/A (state only until Save)</t>
        </is>
      </c>
      <c r="K65" s="14" t="inlineStr"/>
      <c r="L65" s="15" t="inlineStr">
        <is>
          <t>Not Executed</t>
        </is>
      </c>
      <c r="M65" s="15" t="inlineStr"/>
      <c r="N65" s="15" t="inlineStr"/>
      <c r="O65" s="15" t="inlineStr"/>
      <c r="P65" s="14" t="inlineStr"/>
    </row>
    <row r="66" ht="105" customHeight="1">
      <c r="A66" s="11" t="inlineStr">
        <is>
          <t>PRV-065</t>
        </is>
      </c>
      <c r="B66" s="12" t="inlineStr">
        <is>
          <t>Schedule Manager</t>
        </is>
      </c>
      <c r="C66" s="12" t="inlineStr">
        <is>
          <t>Save schedule (bulk) succeeds with success badge</t>
        </is>
      </c>
      <c r="D66" s="13" t="inlineStr">
        <is>
          <t>High</t>
        </is>
      </c>
      <c r="E66" s="12" t="inlineStr">
        <is>
          <t>Functional</t>
        </is>
      </c>
      <c r="F66" s="12" t="inlineStr">
        <is>
          <t>Logged in. On the Schedule Manager with valid days configured.</t>
        </is>
      </c>
      <c r="G66" s="12" t="inlineStr">
        <is>
          <t>1. Configure at least Mon–Fri with valid times.
2. Click 'Save Schedule'.
3. Observe the button and feedback.</t>
        </is>
      </c>
      <c r="H66" s="12" t="inlineStr">
        <is>
          <t>Valid weekly schedule</t>
        </is>
      </c>
      <c r="I66" s="12" t="inlineStr">
        <is>
          <t>Button shows 'Saving...' then a green 'Saved Successfully' badge appears (auto-hides after ~3s). POST /providers/{id}/schedule/bulk is sent with {schedules:[7 day objects]} including inactive days (is_active=false). Re-opening the detail Schedule tab shows the saved active days.</t>
        </is>
      </c>
      <c r="J66" s="12" t="inlineStr">
        <is>
          <t>POST /api/providers/{provider_id}/schedule/bulk</t>
        </is>
      </c>
      <c r="K66" s="14" t="inlineStr"/>
      <c r="L66" s="15" t="inlineStr">
        <is>
          <t>Not Executed</t>
        </is>
      </c>
      <c r="M66" s="15" t="inlineStr"/>
      <c r="N66" s="15" t="inlineStr"/>
      <c r="O66" s="15" t="inlineStr"/>
      <c r="P66" s="14" t="inlineStr"/>
    </row>
    <row r="67" ht="120" customHeight="1">
      <c r="A67" s="11" t="inlineStr">
        <is>
          <t>PRV-066</t>
        </is>
      </c>
      <c r="B67" s="12" t="inlineStr">
        <is>
          <t>Schedule Manager</t>
        </is>
      </c>
      <c r="C67" s="12" t="inlineStr">
        <is>
          <t>Save with end time before start time (conflict/validation)</t>
        </is>
      </c>
      <c r="D67" s="13" t="inlineStr">
        <is>
          <t>High</t>
        </is>
      </c>
      <c r="E67" s="12" t="inlineStr">
        <is>
          <t>Validation</t>
        </is>
      </c>
      <c r="F67" s="12" t="inlineStr">
        <is>
          <t>Logged in. On the Schedule Manager.</t>
        </is>
      </c>
      <c r="G67" s="12" t="inlineStr">
        <is>
          <t>1. Set Monday Start 17:00 and End 09:00 (end before start).
2. Click 'Save Schedule'.</t>
        </is>
      </c>
      <c r="H67" s="12" t="inlineStr">
        <is>
          <t>Mon 17:00 -&gt; 09:00</t>
        </is>
      </c>
      <c r="I67" s="12" t="inlineStr">
        <is>
          <t>Save should fail validation. Backend returns an error and the red Alert shows err.response.data.error or 'Failed to save schedules. Please check your inputs.' NOTE: there is no client-side end&gt;start guard, so confirm the backend rejects it; if it is silently accepted, raise as a data-integrity defect.</t>
        </is>
      </c>
      <c r="J67" s="12" t="inlineStr">
        <is>
          <t>POST /api/providers/{provider_id}/schedule/bulk (expected 4xx)</t>
        </is>
      </c>
      <c r="K67" s="14" t="inlineStr"/>
      <c r="L67" s="15" t="inlineStr">
        <is>
          <t>Not Executed</t>
        </is>
      </c>
      <c r="M67" s="15" t="inlineStr"/>
      <c r="N67" s="15" t="inlineStr"/>
      <c r="O67" s="15" t="inlineStr"/>
      <c r="P67" s="14" t="inlineStr"/>
    </row>
    <row r="68" ht="60" customHeight="1">
      <c r="A68" s="11" t="inlineStr">
        <is>
          <t>PRV-067</t>
        </is>
      </c>
      <c r="B68" s="12" t="inlineStr">
        <is>
          <t>Schedule Manager</t>
        </is>
      </c>
      <c r="C68" s="12" t="inlineStr">
        <is>
          <t>Save error path shows red alert</t>
        </is>
      </c>
      <c r="D68" s="19" t="inlineStr">
        <is>
          <t>Medium</t>
        </is>
      </c>
      <c r="E68" s="12" t="inlineStr">
        <is>
          <t>Negative</t>
        </is>
      </c>
      <c r="F68" s="12" t="inlineStr">
        <is>
          <t>Logged in. On the Schedule Manager. Ability to force the bulk request to fail.</t>
        </is>
      </c>
      <c r="G68" s="12" t="inlineStr">
        <is>
          <t>1. Force POST /schedule/bulk to return 400/500.
2. Click 'Save Schedule'.</t>
        </is>
      </c>
      <c r="H68" s="12" t="inlineStr">
        <is>
          <t>Forced error</t>
        </is>
      </c>
      <c r="I68" s="12" t="inlineStr">
        <is>
          <t>A red Alert with an AlertCircle icon shows the API error or fallback message; no success badge; saving spinner clears; user can retry.</t>
        </is>
      </c>
      <c r="J68" s="12" t="inlineStr">
        <is>
          <t>POST /api/providers/{provider_id}/schedule/bulk (forced error)</t>
        </is>
      </c>
      <c r="K68" s="14" t="inlineStr"/>
      <c r="L68" s="15" t="inlineStr">
        <is>
          <t>Not Executed</t>
        </is>
      </c>
      <c r="M68" s="15" t="inlineStr"/>
      <c r="N68" s="15" t="inlineStr"/>
      <c r="O68" s="15" t="inlineStr"/>
      <c r="P68" s="14" t="inlineStr"/>
    </row>
    <row r="69" ht="45" customHeight="1">
      <c r="A69" s="11" t="inlineStr">
        <is>
          <t>PRV-068</t>
        </is>
      </c>
      <c r="B69" s="12" t="inlineStr">
        <is>
          <t>Schedule Manager</t>
        </is>
      </c>
      <c r="C69" s="12" t="inlineStr">
        <is>
          <t>Back to Provider Profile navigation</t>
        </is>
      </c>
      <c r="D69" s="20" t="inlineStr">
        <is>
          <t>Low</t>
        </is>
      </c>
      <c r="E69" s="12" t="inlineStr">
        <is>
          <t>Functional</t>
        </is>
      </c>
      <c r="F69" s="12" t="inlineStr">
        <is>
          <t>Logged in. On the Schedule Manager.</t>
        </is>
      </c>
      <c r="G69" s="12" t="inlineStr">
        <is>
          <t>1. Click 'Back to Provider Profile'.</t>
        </is>
      </c>
      <c r="H69" s="12" t="inlineStr">
        <is>
          <t>N/A</t>
        </is>
      </c>
      <c r="I69" s="12" t="inlineStr">
        <is>
          <t>Navigates to /providers/{id}; any unsaved schedule edits are discarded (no save-on-leave).</t>
        </is>
      </c>
      <c r="J69" s="12" t="inlineStr">
        <is>
          <t>N/A</t>
        </is>
      </c>
      <c r="K69" s="14" t="inlineStr"/>
      <c r="L69" s="15" t="inlineStr">
        <is>
          <t>Not Executed</t>
        </is>
      </c>
      <c r="M69" s="15" t="inlineStr"/>
      <c r="N69" s="15" t="inlineStr"/>
      <c r="O69" s="15" t="inlineStr"/>
      <c r="P69" s="14" t="inlineStr"/>
    </row>
    <row r="70" ht="75" customHeight="1">
      <c r="A70" s="11" t="inlineStr">
        <is>
          <t>PRV-069</t>
        </is>
      </c>
      <c r="B70" s="12" t="inlineStr">
        <is>
          <t>Schedule Manager</t>
        </is>
      </c>
      <c r="C70" s="12" t="inlineStr">
        <is>
          <t>Schedule round-trip data integrity</t>
        </is>
      </c>
      <c r="D70" s="13" t="inlineStr">
        <is>
          <t>High</t>
        </is>
      </c>
      <c r="E70" s="12" t="inlineStr">
        <is>
          <t>Data Integrity</t>
        </is>
      </c>
      <c r="F70" s="12" t="inlineStr">
        <is>
          <t>Logged in. On the Schedule Manager.</t>
        </is>
      </c>
      <c r="G70" s="12" t="inlineStr">
        <is>
          <t>1. Set a distinctive schedule (e.g., Tue 11:00–13:00, 15 min, cap 4; all others off).
2. Save.
3. Reload /providers/{id}/schedule.
4. Also open the detail Schedule tab.</t>
        </is>
      </c>
      <c r="H70" s="12" t="inlineStr">
        <is>
          <t>Tue 11:00-13:00 / 15 min / 4</t>
        </is>
      </c>
      <c r="I70" s="12" t="inlineStr">
        <is>
          <t>After reload only Tuesday is active with exactly 11:00–13:00, 15-min slots, capacity 4; all other days inactive. Detail Schedule tab matches. Values persisted with no drift.</t>
        </is>
      </c>
      <c r="J70" s="12" t="inlineStr">
        <is>
          <t>POST /api/providers/{provider_id}/schedule/bulk; GET /api/providers/{provider_id}/schedule</t>
        </is>
      </c>
      <c r="K70" s="14" t="inlineStr"/>
      <c r="L70" s="15" t="inlineStr">
        <is>
          <t>Not Executed</t>
        </is>
      </c>
      <c r="M70" s="15" t="inlineStr"/>
      <c r="N70" s="15" t="inlineStr"/>
      <c r="O70" s="15" t="inlineStr"/>
      <c r="P70" s="14" t="inlineStr"/>
    </row>
    <row r="71" ht="75" customHeight="1">
      <c r="A71" s="16" t="inlineStr">
        <is>
          <t>PRV-070</t>
        </is>
      </c>
      <c r="B71" s="17" t="inlineStr">
        <is>
          <t>Permission/Session</t>
        </is>
      </c>
      <c r="C71" s="17" t="inlineStr">
        <is>
          <t>Unauthenticated access to provider routes redirects to login</t>
        </is>
      </c>
      <c r="D71" s="21" t="inlineStr">
        <is>
          <t>High</t>
        </is>
      </c>
      <c r="E71" s="17" t="inlineStr">
        <is>
          <t>Permission</t>
        </is>
      </c>
      <c r="F71" s="17" t="inlineStr">
        <is>
          <t>Not logged in (clear localStorage tokens).</t>
        </is>
      </c>
      <c r="G71" s="17" t="inlineStr">
        <is>
          <t>1. Clear access_token/refresh_token in localStorage.
2. Navigate directly to /providers, then /providers/new, /providers/{id}, /providers/{id}/edit, /providers/{id}/schedule.</t>
        </is>
      </c>
      <c r="H71" s="17" t="inlineStr">
        <is>
          <t>No tokens</t>
        </is>
      </c>
      <c r="I71" s="17" t="inlineStr">
        <is>
          <t>Each protected route redirects to the login screen (auth guard). After logging in, navigating to /providers works normally.</t>
        </is>
      </c>
      <c r="J71" s="17" t="inlineStr">
        <is>
          <t>N/A (route guard)</t>
        </is>
      </c>
      <c r="K71" s="14" t="inlineStr"/>
      <c r="L71" s="15" t="inlineStr">
        <is>
          <t>Not Executed</t>
        </is>
      </c>
      <c r="M71" s="15" t="inlineStr"/>
      <c r="N71" s="15" t="inlineStr"/>
      <c r="O71" s="15" t="inlineStr"/>
      <c r="P71" s="14" t="inlineStr"/>
    </row>
    <row r="72" ht="75" customHeight="1">
      <c r="A72" s="16" t="inlineStr">
        <is>
          <t>PRV-071</t>
        </is>
      </c>
      <c r="B72" s="17" t="inlineStr">
        <is>
          <t>Permission/Session</t>
        </is>
      </c>
      <c r="C72" s="17" t="inlineStr">
        <is>
          <t>Expired access token triggers refresh then retry</t>
        </is>
      </c>
      <c r="D72" s="21" t="inlineStr">
        <is>
          <t>High</t>
        </is>
      </c>
      <c r="E72" s="17" t="inlineStr">
        <is>
          <t>Permission</t>
        </is>
      </c>
      <c r="F72" s="17" t="inlineStr">
        <is>
          <t>Logged in with a valid refresh_token but an expired/invalid access_token.</t>
        </is>
      </c>
      <c r="G72" s="17" t="inlineStr">
        <is>
          <t>1. Replace access_token in localStorage with an expired/garbage value (keep a valid refresh_token).
2. Open /providers (which fires GET /providers).
3. Watch the Network tab.</t>
        </is>
      </c>
      <c r="H72" s="17" t="inlineStr">
        <is>
          <t>Expired access_token</t>
        </is>
      </c>
      <c r="I72" s="17" t="inlineStr">
        <is>
          <t>The first GET /providers returns 401; the interceptor calls POST /auth/refresh once, stores a new access_token, and retries the original request which then succeeds. The list renders without a forced logout.</t>
        </is>
      </c>
      <c r="J72" s="17" t="inlineStr">
        <is>
          <t>GET /api/providers (401 -&gt; refresh -&gt; retry)</t>
        </is>
      </c>
      <c r="K72" s="14" t="inlineStr"/>
      <c r="L72" s="15" t="inlineStr">
        <is>
          <t>Not Executed</t>
        </is>
      </c>
      <c r="M72" s="15" t="inlineStr"/>
      <c r="N72" s="15" t="inlineStr"/>
      <c r="O72" s="15" t="inlineStr"/>
      <c r="P72" s="14" t="inlineStr"/>
    </row>
    <row r="73" ht="60" customHeight="1">
      <c r="A73" s="16" t="inlineStr">
        <is>
          <t>PRV-072</t>
        </is>
      </c>
      <c r="B73" s="17" t="inlineStr">
        <is>
          <t>Permission/Session</t>
        </is>
      </c>
      <c r="C73" s="17" t="inlineStr">
        <is>
          <t>Failed refresh clears tokens and hard-redirects to /login</t>
        </is>
      </c>
      <c r="D73" s="21" t="inlineStr">
        <is>
          <t>High</t>
        </is>
      </c>
      <c r="E73" s="17" t="inlineStr">
        <is>
          <t>Permission</t>
        </is>
      </c>
      <c r="F73" s="17" t="inlineStr">
        <is>
          <t>Logged in. Set an invalid refresh_token so refresh fails.</t>
        </is>
      </c>
      <c r="G73" s="17" t="inlineStr">
        <is>
          <t>1. Set both access_token and refresh_token to invalid values.
2. Open /providers and trigger an API call.</t>
        </is>
      </c>
      <c r="H73" s="17" t="inlineStr">
        <is>
          <t>Invalid access + refresh tokens</t>
        </is>
      </c>
      <c r="I73" s="17" t="inlineStr">
        <is>
          <t>401 -&gt; refresh attempt fails -&gt; localStorage access_token/refresh_token/user are removed and the browser hard-redirects to /login (window.location.href).</t>
        </is>
      </c>
      <c r="J73" s="17" t="inlineStr">
        <is>
          <t>GET /api/providers (401); POST /api/auth/refresh (fail)</t>
        </is>
      </c>
      <c r="K73" s="14" t="inlineStr"/>
      <c r="L73" s="15" t="inlineStr">
        <is>
          <t>Not Executed</t>
        </is>
      </c>
      <c r="M73" s="15" t="inlineStr"/>
      <c r="N73" s="15" t="inlineStr"/>
      <c r="O73" s="15" t="inlineStr"/>
      <c r="P73" s="14" t="inlineStr"/>
    </row>
    <row r="74" ht="60" customHeight="1">
      <c r="A74" s="11" t="inlineStr">
        <is>
          <t>PRV-073</t>
        </is>
      </c>
      <c r="B74" s="12" t="inlineStr">
        <is>
          <t>Data Integrity</t>
        </is>
      </c>
      <c r="C74" s="12" t="inlineStr">
        <is>
          <t>Newly created provider appears in the list immediately</t>
        </is>
      </c>
      <c r="D74" s="13" t="inlineStr">
        <is>
          <t>High</t>
        </is>
      </c>
      <c r="E74" s="12" t="inlineStr">
        <is>
          <t>Data Integrity</t>
        </is>
      </c>
      <c r="F74" s="12" t="inlineStr">
        <is>
          <t>Logged in.</t>
        </is>
      </c>
      <c r="G74" s="12" t="inlineStr">
        <is>
          <t>1. Create a new active provider 'Dr. Sunil Pillai' (PRV-015 flow).
2. On returning to /providers, search 'Sunil Pillai'.</t>
        </is>
      </c>
      <c r="H74" s="12" t="inlineStr">
        <is>
          <t>Dr. Sunil Pillai</t>
        </is>
      </c>
      <c r="I74" s="12" t="inlineStr">
        <is>
          <t>The new provider is returned by the list query and shown as an active card with its specialization.</t>
        </is>
      </c>
      <c r="J74" s="12" t="inlineStr">
        <is>
          <t>POST /api/providers; GET /api/providers</t>
        </is>
      </c>
      <c r="K74" s="14" t="inlineStr"/>
      <c r="L74" s="15" t="inlineStr">
        <is>
          <t>Not Executed</t>
        </is>
      </c>
      <c r="M74" s="15" t="inlineStr"/>
      <c r="N74" s="15" t="inlineStr"/>
      <c r="O74" s="15" t="inlineStr"/>
      <c r="P74" s="14" t="inlineStr"/>
    </row>
    <row r="75" ht="90" customHeight="1">
      <c r="A75" s="11" t="inlineStr">
        <is>
          <t>PRV-074</t>
        </is>
      </c>
      <c r="B75" s="12" t="inlineStr">
        <is>
          <t>Data Integrity</t>
        </is>
      </c>
      <c r="C75" s="12" t="inlineStr">
        <is>
          <t>New provider is selectable in scheduling / visit-assignment selectors</t>
        </is>
      </c>
      <c r="D75" s="13" t="inlineStr">
        <is>
          <t>High</t>
        </is>
      </c>
      <c r="E75" s="12" t="inlineStr">
        <is>
          <t>Data Integrity</t>
        </is>
      </c>
      <c r="F75" s="12" t="inlineStr">
        <is>
          <t>Logged in. A newly created active provider exists.</t>
        </is>
      </c>
      <c r="G75" s="12" t="inlineStr">
        <is>
          <t>1. Go to the Scheduling / appointment creation (or visit assignment) screen.
2. Open the provider selector dropdown.
3. Search for the newly created provider.</t>
        </is>
      </c>
      <c r="H75" s="12" t="inlineStr">
        <is>
          <t>Dr. Sunil Pillai</t>
        </is>
      </c>
      <c r="I75" s="12" t="inlineStr">
        <is>
          <t>The new provider appears as a selectable option in provider/visit-assignment dropdowns (since active providers are listed via the same providers API). Selecting it associates the appointment/visit with that provider.</t>
        </is>
      </c>
      <c r="J75" s="12" t="inlineStr">
        <is>
          <t>GET /api/providers (consumed by scheduling)</t>
        </is>
      </c>
      <c r="K75" s="14" t="inlineStr"/>
      <c r="L75" s="15" t="inlineStr">
        <is>
          <t>Not Executed</t>
        </is>
      </c>
      <c r="M75" s="15" t="inlineStr"/>
      <c r="N75" s="15" t="inlineStr"/>
      <c r="O75" s="15" t="inlineStr"/>
      <c r="P75" s="14" t="inlineStr"/>
    </row>
    <row r="76" ht="60" customHeight="1">
      <c r="A76" s="11" t="inlineStr">
        <is>
          <t>PRV-075</t>
        </is>
      </c>
      <c r="B76" s="12" t="inlineStr">
        <is>
          <t>Data Integrity</t>
        </is>
      </c>
      <c r="C76" s="12" t="inlineStr">
        <is>
          <t>New specialization propagates to list filter and form dropdown</t>
        </is>
      </c>
      <c r="D76" s="19" t="inlineStr">
        <is>
          <t>Medium</t>
        </is>
      </c>
      <c r="E76" s="12" t="inlineStr">
        <is>
          <t>Data Integrity</t>
        </is>
      </c>
      <c r="F76" s="12" t="inlineStr">
        <is>
          <t>Logged in. A specialization newly added via AddOptionDialog (PRV-023).</t>
        </is>
      </c>
      <c r="G76" s="12" t="inlineStr">
        <is>
          <t>1. After adding 'Lymphedema Care', go to /providers and open the Specialization filter.
2. Open /providers/new and open the Specialization dropdown.</t>
        </is>
      </c>
      <c r="H76" s="12" t="inlineStr">
        <is>
          <t>Lymphedema Care</t>
        </is>
      </c>
      <c r="I76" s="12" t="inlineStr">
        <is>
          <t>The new specialization appears as an option both in the list page filter and in the create/edit form dropdown (both call GET /providers/specializations on mount).</t>
        </is>
      </c>
      <c r="J76" s="12" t="inlineStr">
        <is>
          <t>GET /api/providers/specializations</t>
        </is>
      </c>
      <c r="K76" s="14" t="inlineStr"/>
      <c r="L76" s="15" t="inlineStr">
        <is>
          <t>Not Executed</t>
        </is>
      </c>
      <c r="M76" s="15" t="inlineStr"/>
      <c r="N76" s="15" t="inlineStr"/>
      <c r="O76" s="15" t="inlineStr"/>
      <c r="P76" s="14" t="inlineStr"/>
    </row>
    <row r="77" ht="75" customHeight="1">
      <c r="A77" s="11" t="inlineStr">
        <is>
          <t>PRV-076</t>
        </is>
      </c>
      <c r="B77" s="12" t="inlineStr">
        <is>
          <t>Data Integrity</t>
        </is>
      </c>
      <c r="C77" s="12" t="inlineStr">
        <is>
          <t>Deactivated provider removed from active scheduling selectors</t>
        </is>
      </c>
      <c r="D77" s="19" t="inlineStr">
        <is>
          <t>Medium</t>
        </is>
      </c>
      <c r="E77" s="12" t="inlineStr">
        <is>
          <t>Data Integrity</t>
        </is>
      </c>
      <c r="F77" s="12" t="inlineStr">
        <is>
          <t>Logged in. An active provider with no future commitments that can be deactivated.</t>
        </is>
      </c>
      <c r="G77" s="12" t="inlineStr">
        <is>
          <t>1. Deactivate the provider (PRV-043).
2. Open the scheduling / visit-assignment provider selector that lists active providers.</t>
        </is>
      </c>
      <c r="H77" s="12" t="inlineStr">
        <is>
          <t>Test provider</t>
        </is>
      </c>
      <c r="I77" s="12" t="inlineStr">
        <is>
          <t>The deactivated provider no longer appears in active-provider selectors (is_active=true list), confirming the soft-delete is reflected downstream. It still exists under the Inactive filter on the list page.</t>
        </is>
      </c>
      <c r="J77" s="12" t="inlineStr">
        <is>
          <t>DELETE /api/providers/{provider_id}; GET /api/providers (is_active=true)</t>
        </is>
      </c>
      <c r="K77" s="14" t="inlineStr"/>
      <c r="L77" s="15" t="inlineStr">
        <is>
          <t>Not Executed</t>
        </is>
      </c>
      <c r="M77" s="15" t="inlineStr"/>
      <c r="N77" s="15" t="inlineStr"/>
      <c r="O77" s="15" t="inlineStr"/>
      <c r="P77" s="14" t="inlineStr"/>
    </row>
    <row r="78" ht="60" customHeight="1">
      <c r="A78" s="16" t="inlineStr">
        <is>
          <t>PRV-077</t>
        </is>
      </c>
      <c r="B78" s="17" t="inlineStr">
        <is>
          <t>Edit Provider</t>
        </is>
      </c>
      <c r="C78" s="17" t="inlineStr">
        <is>
          <t>Edit form load failure shows error alert</t>
        </is>
      </c>
      <c r="D78" s="18" t="inlineStr">
        <is>
          <t>Medium</t>
        </is>
      </c>
      <c r="E78" s="17" t="inlineStr">
        <is>
          <t>Negative</t>
        </is>
      </c>
      <c r="F78" s="17" t="inlineStr">
        <is>
          <t>Logged in. Ability to force GET /providers/{id} to fail when opening edit.</t>
        </is>
      </c>
      <c r="G78" s="17" t="inlineStr">
        <is>
          <t>1. Force GET /providers/{id} to 500.
2. Open /providers/{id}/edit.</t>
        </is>
      </c>
      <c r="H78" s="17" t="inlineStr">
        <is>
          <t>Forced 500</t>
        </is>
      </c>
      <c r="I78" s="17" t="inlineStr">
        <is>
          <t>Destructive Alert 'Failed to load form data. Please try again.' is shown; the form is not usefully prefilled. (Specializations may still load independently.)</t>
        </is>
      </c>
      <c r="J78" s="17" t="inlineStr">
        <is>
          <t>GET /api/providers/{provider_id} (forced error)</t>
        </is>
      </c>
      <c r="K78" s="14" t="inlineStr"/>
      <c r="L78" s="15" t="inlineStr">
        <is>
          <t>Not Executed</t>
        </is>
      </c>
      <c r="M78" s="15" t="inlineStr"/>
      <c r="N78" s="15" t="inlineStr"/>
      <c r="O78" s="15" t="inlineStr"/>
      <c r="P78" s="14" t="inlineStr"/>
    </row>
  </sheetData>
  <autoFilter ref="A1:P78"/>
  <conditionalFormatting sqref="L2:L7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78" showDropDown="0" showInputMessage="0" showErrorMessage="0" allowBlank="1" type="list">
      <formula1>"Not Executed,Pass,Fail,Blocked,N/A"</formula1>
    </dataValidation>
    <dataValidation sqref="M2:M78" showDropDown="0" showInputMessage="0"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90" customHeight="1">
      <c r="A2" s="11" t="inlineStr">
        <is>
          <t>INV-001</t>
        </is>
      </c>
      <c r="B2" s="12" t="inlineStr">
        <is>
          <t>Dashboard</t>
        </is>
      </c>
      <c r="C2" s="12" t="inlineStr">
        <is>
          <t>Inventory Dashboard loads with all six KPI stat cards</t>
        </is>
      </c>
      <c r="D2" s="13" t="inlineStr">
        <is>
          <t>High</t>
        </is>
      </c>
      <c r="E2" s="12" t="inlineStr">
        <is>
          <t>Functional</t>
        </is>
      </c>
      <c r="F2" s="12" t="inlineStr">
        <is>
          <t>Logged in as admin; seed data present.</t>
        </is>
      </c>
      <c r="G2" s="12" t="inlineStr">
        <is>
          <t>1. Navigate to /inventory.
2. Observe the spinner 'Loading inventory...' then the loaded dashboard.
3. Verify the six stat cards render: Total Medicines, Stock Locations, Total Stock Value, Low Stock Items, Expiring Soon, Active Suppliers.</t>
        </is>
      </c>
      <c r="H2" s="12" t="inlineStr">
        <is>
          <t>N/A</t>
        </is>
      </c>
      <c r="I2" s="12" t="inlineStr">
        <is>
          <t>All six cards render with numeric values. Total Stock Value is formatted with ₹ and Indian grouping. Values are derived from getMedicines, getLocations, getStock, getSuppliers, getBatches calls.</t>
        </is>
      </c>
      <c r="J2" s="12" t="inlineStr">
        <is>
          <t>GET /api/inventory/medicines, GET /api/inventory/locations, GET /api/inventory/stock, GET /api/inventory/suppliers, GET /api/inventory/batches</t>
        </is>
      </c>
      <c r="K2" s="14" t="inlineStr"/>
      <c r="L2" s="15" t="inlineStr">
        <is>
          <t>Not Executed</t>
        </is>
      </c>
      <c r="M2" s="15" t="inlineStr"/>
      <c r="N2" s="15" t="inlineStr"/>
      <c r="O2" s="15" t="inlineStr"/>
      <c r="P2" s="14" t="inlineStr"/>
    </row>
    <row r="3" ht="90" customHeight="1">
      <c r="A3" s="11" t="inlineStr">
        <is>
          <t>INV-002</t>
        </is>
      </c>
      <c r="B3" s="12" t="inlineStr">
        <is>
          <t>Dashboard</t>
        </is>
      </c>
      <c r="C3" s="12" t="inlineStr">
        <is>
          <t>Dashboard low-stock and expiring-soon alert styling</t>
        </is>
      </c>
      <c r="D3" s="19" t="inlineStr">
        <is>
          <t>Medium</t>
        </is>
      </c>
      <c r="E3" s="12" t="inlineStr">
        <is>
          <t>UI/UX</t>
        </is>
      </c>
      <c r="F3" s="12" t="inlineStr">
        <is>
          <t>Seed data has at least one LOW/CRITICAL stock item and at least one batch expiring within 90 days.</t>
        </is>
      </c>
      <c r="G3" s="12" t="inlineStr">
        <is>
          <t>1. Open /inventory.
2. Inspect the 'Low Stock Items' and 'Expiring Soon' cards.</t>
        </is>
      </c>
      <c r="H3" s="12" t="inlineStr">
        <is>
          <t>N/A</t>
        </is>
      </c>
      <c r="I3" s="12" t="inlineStr">
        <is>
          <t>When value &gt; 0 the card shows a red ring (ring-2 ring-red-200) and a pulsing red dot. Low Stock counts items with stock_status StockStatus.LOW or StockStatus.CRITICAL; Expiring Soon counts batches with days_to_expiry between 1 and 89.</t>
        </is>
      </c>
      <c r="J3" s="12" t="inlineStr">
        <is>
          <t>GET /api/inventory/stock, GET /api/inventory/batches</t>
        </is>
      </c>
      <c r="K3" s="14" t="inlineStr"/>
      <c r="L3" s="15" t="inlineStr">
        <is>
          <t>Not Executed</t>
        </is>
      </c>
      <c r="M3" s="15" t="inlineStr"/>
      <c r="N3" s="15" t="inlineStr"/>
      <c r="O3" s="15" t="inlineStr"/>
      <c r="P3" s="14" t="inlineStr"/>
    </row>
    <row r="4" ht="105" customHeight="1">
      <c r="A4" s="11" t="inlineStr">
        <is>
          <t>INV-003</t>
        </is>
      </c>
      <c r="B4" s="12" t="inlineStr">
        <is>
          <t>Dashboard</t>
        </is>
      </c>
      <c r="C4" s="12" t="inlineStr">
        <is>
          <t>Dashboard stat-card links navigate to correct screens</t>
        </is>
      </c>
      <c r="D4" s="19" t="inlineStr">
        <is>
          <t>Medium</t>
        </is>
      </c>
      <c r="E4" s="12" t="inlineStr">
        <is>
          <t>Functional</t>
        </is>
      </c>
      <c r="F4" s="12" t="inlineStr">
        <is>
          <t>Logged in as admin.</t>
        </is>
      </c>
      <c r="G4" s="12" t="inlineStr">
        <is>
          <t>1. On /inventory click 'Total Medicines' card -&gt; expect /inventory/medicines.
2. Back. Click 'Stock Locations', 'Total Stock Value', 'Low Stock Items', 'Expiring Soon' -&gt; each routes to /inventory/stock.
3. Back. Click 'Active Suppliers' -&gt; expect /inventory/purchase-orders.</t>
        </is>
      </c>
      <c r="H4" s="12" t="inlineStr">
        <is>
          <t>N/A</t>
        </is>
      </c>
      <c r="I4" s="12" t="inlineStr">
        <is>
          <t>Each card navigates to its configured href without error.</t>
        </is>
      </c>
      <c r="J4" s="12" t="inlineStr">
        <is>
          <t>N/A</t>
        </is>
      </c>
      <c r="K4" s="14" t="inlineStr"/>
      <c r="L4" s="15" t="inlineStr">
        <is>
          <t>Not Executed</t>
        </is>
      </c>
      <c r="M4" s="15" t="inlineStr"/>
      <c r="N4" s="15" t="inlineStr"/>
      <c r="O4" s="15" t="inlineStr"/>
      <c r="P4" s="14" t="inlineStr"/>
    </row>
    <row r="5" ht="120" customHeight="1">
      <c r="A5" s="11" t="inlineStr">
        <is>
          <t>INV-004</t>
        </is>
      </c>
      <c r="B5" s="12" t="inlineStr">
        <is>
          <t>Dashboard</t>
        </is>
      </c>
      <c r="C5" s="12" t="inlineStr">
        <is>
          <t>Quick Actions and Module cards navigation</t>
        </is>
      </c>
      <c r="D5" s="19" t="inlineStr">
        <is>
          <t>Medium</t>
        </is>
      </c>
      <c r="E5" s="12" t="inlineStr">
        <is>
          <t>Functional</t>
        </is>
      </c>
      <c r="F5" s="12" t="inlineStr">
        <is>
          <t>Logged in as admin.</t>
        </is>
      </c>
      <c r="G5" s="12" t="inlineStr">
        <is>
          <t>1. Click Quick Action 'New Medicine' -&gt; /inventory/medicines.
2. Click 'Purchase Order' -&gt; /inventory/purchase-orders/new.
3. Click 'Dispense' -&gt; /inventory/dispense.
4. Click 'Stock Report' -&gt; /inventory/stock.
5. Click each of the 4 Module cards and confirm correct route.</t>
        </is>
      </c>
      <c r="H5" s="12" t="inlineStr">
        <is>
          <t>N/A</t>
        </is>
      </c>
      <c r="I5" s="12" t="inlineStr">
        <is>
          <t>All Quick Action and Module links route correctly.</t>
        </is>
      </c>
      <c r="J5" s="12" t="inlineStr">
        <is>
          <t>N/A</t>
        </is>
      </c>
      <c r="K5" s="14" t="inlineStr"/>
      <c r="L5" s="15" t="inlineStr">
        <is>
          <t>Not Executed</t>
        </is>
      </c>
      <c r="M5" s="15" t="inlineStr"/>
      <c r="N5" s="15" t="inlineStr"/>
      <c r="O5" s="15" t="inlineStr"/>
      <c r="P5" s="14" t="inlineStr"/>
    </row>
    <row r="6" ht="90" customHeight="1">
      <c r="A6" s="11" t="inlineStr">
        <is>
          <t>INV-005</t>
        </is>
      </c>
      <c r="B6" s="12" t="inlineStr">
        <is>
          <t>Dashboard</t>
        </is>
      </c>
      <c r="C6" s="12" t="inlineStr">
        <is>
          <t>Dashboard Refresh button re-fetches stats</t>
        </is>
      </c>
      <c r="D6" s="20" t="inlineStr">
        <is>
          <t>Low</t>
        </is>
      </c>
      <c r="E6" s="12" t="inlineStr">
        <is>
          <t>Functional</t>
        </is>
      </c>
      <c r="F6" s="12" t="inlineStr">
        <is>
          <t>Logged in as admin; DevTools Network open.</t>
        </is>
      </c>
      <c r="G6" s="12" t="inlineStr">
        <is>
          <t>1. Open /inventory.
2. Click the Refresh (circular arrow) button top-right.
3. Watch the Network tab.</t>
        </is>
      </c>
      <c r="H6" s="12" t="inlineStr">
        <is>
          <t>N/A</t>
        </is>
      </c>
      <c r="I6" s="12" t="inlineStr">
        <is>
          <t>The five parallel GET calls fire again and the cards re-render with current data; brief loading spinner is acceptable.</t>
        </is>
      </c>
      <c r="J6" s="12" t="inlineStr">
        <is>
          <t>GET /api/inventory/medicines, GET /api/inventory/locations, GET /api/inventory/stock, GET /api/inventory/suppliers, GET /api/inventory/batches</t>
        </is>
      </c>
      <c r="K6" s="14" t="inlineStr"/>
      <c r="L6" s="15" t="inlineStr">
        <is>
          <t>Not Executed</t>
        </is>
      </c>
      <c r="M6" s="15" t="inlineStr"/>
      <c r="N6" s="15" t="inlineStr"/>
      <c r="O6" s="15" t="inlineStr"/>
      <c r="P6" s="14" t="inlineStr"/>
    </row>
    <row r="7" ht="90" customHeight="1">
      <c r="A7" s="11" t="inlineStr">
        <is>
          <t>INV-006</t>
        </is>
      </c>
      <c r="B7" s="12" t="inlineStr">
        <is>
          <t>Dashboard</t>
        </is>
      </c>
      <c r="C7" s="12" t="inlineStr">
        <is>
          <t>Dashboard resilient when an underlying API errors</t>
        </is>
      </c>
      <c r="D7" s="19" t="inlineStr">
        <is>
          <t>Medium</t>
        </is>
      </c>
      <c r="E7" s="12" t="inlineStr">
        <is>
          <t>Edge Case</t>
        </is>
      </c>
      <c r="F7" s="12" t="inlineStr">
        <is>
          <t>Ability to force a 500 on one of the dashboard calls (e.g. block /inventory/batches in DevTools).</t>
        </is>
      </c>
      <c r="G7" s="12" t="inlineStr">
        <is>
          <t>1. Block or fail one of the five dashboard requests.
2. Reload /inventory.</t>
        </is>
      </c>
      <c r="H7" s="12" t="inlineStr">
        <is>
          <t>N/A</t>
        </is>
      </c>
      <c r="I7" s="12" t="inlineStr">
        <is>
          <t>Because all five are awaited in a single Promise.all, a single failure causes the catch branch: stats stay at defaults (zeros) and an error is logged to console; the page still renders without crashing (no white screen).</t>
        </is>
      </c>
      <c r="J7" s="12" t="inlineStr">
        <is>
          <t>GET /api/inventory/batches</t>
        </is>
      </c>
      <c r="K7" s="14" t="inlineStr"/>
      <c r="L7" s="15" t="inlineStr">
        <is>
          <t>Not Executed</t>
        </is>
      </c>
      <c r="M7" s="15" t="inlineStr"/>
      <c r="N7" s="15" t="inlineStr"/>
      <c r="O7" s="15" t="inlineStr"/>
      <c r="P7" s="14" t="inlineStr"/>
    </row>
    <row r="8" ht="90" customHeight="1">
      <c r="A8" s="16" t="inlineStr">
        <is>
          <t>INV-007</t>
        </is>
      </c>
      <c r="B8" s="17" t="inlineStr">
        <is>
          <t>Medicines Master</t>
        </is>
      </c>
      <c r="C8" s="17" t="inlineStr">
        <is>
          <t>Medicines list loads with header count and table columns</t>
        </is>
      </c>
      <c r="D8" s="21" t="inlineStr">
        <is>
          <t>High</t>
        </is>
      </c>
      <c r="E8" s="17" t="inlineStr">
        <is>
          <t>Functional</t>
        </is>
      </c>
      <c r="F8" s="17" t="inlineStr">
        <is>
          <t>Logged in as admin; medicines seeded.</t>
        </is>
      </c>
      <c r="G8" s="17" t="inlineStr">
        <is>
          <t>1. Navigate to /inventory/medicines.
2. Verify header shows 'Medicine Master' and a subtitle '&lt;total&gt; medicines'.
3. Verify columns: Code, Medicine Name, Generic, Brand, Strength, Form, Category, Status, Actions.</t>
        </is>
      </c>
      <c r="H8" s="17" t="inlineStr">
        <is>
          <t>N/A</t>
        </is>
      </c>
      <c r="I8" s="17" t="inlineStr">
        <is>
          <t>Table lists medicines (25 per page). Form badge strips the 'DosageForm.' prefix. Status shows 'Essential' or 'Non-Essential'. Subtitle equals API total.</t>
        </is>
      </c>
      <c r="J8" s="17" t="inlineStr">
        <is>
          <t>GET /api/inventory/medicines?page=1&amp;per_page=25</t>
        </is>
      </c>
      <c r="K8" s="14" t="inlineStr"/>
      <c r="L8" s="15" t="inlineStr">
        <is>
          <t>Not Executed</t>
        </is>
      </c>
      <c r="M8" s="15" t="inlineStr"/>
      <c r="N8" s="15" t="inlineStr"/>
      <c r="O8" s="15" t="inlineStr"/>
      <c r="P8" s="14" t="inlineStr"/>
    </row>
    <row r="9" ht="60" customHeight="1">
      <c r="A9" s="16" t="inlineStr">
        <is>
          <t>INV-008</t>
        </is>
      </c>
      <c r="B9" s="17" t="inlineStr">
        <is>
          <t>Medicines Master</t>
        </is>
      </c>
      <c r="C9" s="17" t="inlineStr">
        <is>
          <t>Medicine search filters list and resets to page 1</t>
        </is>
      </c>
      <c r="D9" s="21" t="inlineStr">
        <is>
          <t>High</t>
        </is>
      </c>
      <c r="E9" s="17" t="inlineStr">
        <is>
          <t>Functional</t>
        </is>
      </c>
      <c r="F9" s="17" t="inlineStr">
        <is>
          <t>At least 2 distinct medicines seeded.</t>
        </is>
      </c>
      <c r="G9" s="17" t="inlineStr">
        <is>
          <t>1. On /inventory/medicines navigate to page 2 (if available).
2. Type 'Paracetamol' into the search box.
3. Observe the table and watch Network.</t>
        </is>
      </c>
      <c r="H9" s="17" t="inlineStr">
        <is>
          <t>Search: Paracetamol</t>
        </is>
      </c>
      <c r="I9" s="17" t="inlineStr">
        <is>
          <t>On each keystroke the list re-fetches with search=Paracetamol and page resets to 1; only matching medicines show.</t>
        </is>
      </c>
      <c r="J9" s="17" t="inlineStr">
        <is>
          <t>GET /api/inventory/medicines?page=1&amp;per_page=25&amp;search=Paracetamol</t>
        </is>
      </c>
      <c r="K9" s="14" t="inlineStr"/>
      <c r="L9" s="15" t="inlineStr">
        <is>
          <t>Not Executed</t>
        </is>
      </c>
      <c r="M9" s="15" t="inlineStr"/>
      <c r="N9" s="15" t="inlineStr"/>
      <c r="O9" s="15" t="inlineStr"/>
      <c r="P9" s="14" t="inlineStr"/>
    </row>
    <row r="10" ht="45" customHeight="1">
      <c r="A10" s="16" t="inlineStr">
        <is>
          <t>INV-009</t>
        </is>
      </c>
      <c r="B10" s="17" t="inlineStr">
        <is>
          <t>Medicines Master</t>
        </is>
      </c>
      <c r="C10" s="17" t="inlineStr">
        <is>
          <t>Medicines empty state when no match found</t>
        </is>
      </c>
      <c r="D10" s="22" t="inlineStr">
        <is>
          <t>Low</t>
        </is>
      </c>
      <c r="E10" s="17" t="inlineStr">
        <is>
          <t>UI/UX</t>
        </is>
      </c>
      <c r="F10" s="17" t="inlineStr">
        <is>
          <t>Logged in as admin.</t>
        </is>
      </c>
      <c r="G10" s="17" t="inlineStr">
        <is>
          <t>1. Search for a string that matches nothing, e.g. 'zzzznomatch'.
2. Wait for the result.</t>
        </is>
      </c>
      <c r="H10" s="17" t="inlineStr">
        <is>
          <t>Search: zzzznomatch</t>
        </is>
      </c>
      <c r="I10" s="17" t="inlineStr">
        <is>
          <t>Table body shows the centered Pill icon with 'No medicines found'. Pagination is hidden.</t>
        </is>
      </c>
      <c r="J10" s="17" t="inlineStr">
        <is>
          <t>GET /api/inventory/medicines?search=zzzznomatch</t>
        </is>
      </c>
      <c r="K10" s="14" t="inlineStr"/>
      <c r="L10" s="15" t="inlineStr">
        <is>
          <t>Not Executed</t>
        </is>
      </c>
      <c r="M10" s="15" t="inlineStr"/>
      <c r="N10" s="15" t="inlineStr"/>
      <c r="O10" s="15" t="inlineStr"/>
      <c r="P10" s="14" t="inlineStr"/>
    </row>
    <row r="11" ht="90" customHeight="1">
      <c r="A11" s="16" t="inlineStr">
        <is>
          <t>INV-010</t>
        </is>
      </c>
      <c r="B11" s="17" t="inlineStr">
        <is>
          <t>Medicines Master</t>
        </is>
      </c>
      <c r="C11" s="17" t="inlineStr">
        <is>
          <t>Medicines pagination Prev/Next behaviour</t>
        </is>
      </c>
      <c r="D11" s="18" t="inlineStr">
        <is>
          <t>Medium</t>
        </is>
      </c>
      <c r="E11" s="17" t="inlineStr">
        <is>
          <t>Functional</t>
        </is>
      </c>
      <c r="F11" s="17" t="inlineStr">
        <is>
          <t>More than 25 medicines exist (total &gt; 25).</t>
        </is>
      </c>
      <c r="G11" s="17" t="inlineStr">
        <is>
          <t>1. Open /inventory/medicines.
2. Confirm 'Page 1 of N (total)' footer is shown and Prev is disabled.
3. Click Next; confirm page increments and data changes.
4. On the last page confirm Next is disabled.</t>
        </is>
      </c>
      <c r="H11" s="17" t="inlineStr">
        <is>
          <t>N/A</t>
        </is>
      </c>
      <c r="I11" s="17" t="inlineStr">
        <is>
          <t>Prev disabled on page 1; Next disabled on last page; page label and totals are accurate; totalPages = ceil(total/25).</t>
        </is>
      </c>
      <c r="J11" s="17" t="inlineStr">
        <is>
          <t>GET /api/inventory/medicines?page=2&amp;per_page=25</t>
        </is>
      </c>
      <c r="K11" s="14" t="inlineStr"/>
      <c r="L11" s="15" t="inlineStr">
        <is>
          <t>Not Executed</t>
        </is>
      </c>
      <c r="M11" s="15" t="inlineStr"/>
      <c r="N11" s="15" t="inlineStr"/>
      <c r="O11" s="15" t="inlineStr"/>
      <c r="P11" s="14" t="inlineStr"/>
    </row>
    <row r="12" ht="105" customHeight="1">
      <c r="A12" s="16" t="inlineStr">
        <is>
          <t>INV-011</t>
        </is>
      </c>
      <c r="B12" s="17" t="inlineStr">
        <is>
          <t>Medicines Master</t>
        </is>
      </c>
      <c r="C12" s="17" t="inlineStr">
        <is>
          <t>Add Medicine dialog opens with default form values</t>
        </is>
      </c>
      <c r="D12" s="18" t="inlineStr">
        <is>
          <t>Medium</t>
        </is>
      </c>
      <c r="E12" s="17" t="inlineStr">
        <is>
          <t>UI/UX</t>
        </is>
      </c>
      <c r="F12" s="17" t="inlineStr">
        <is>
          <t>Logged in as admin.</t>
        </is>
      </c>
      <c r="G12" s="17" t="inlineStr">
        <is>
          <t>1. Click 'Add Medicine'.
2. Inspect the dialog field defaults.</t>
        </is>
      </c>
      <c r="H12" s="17" t="inlineStr">
        <is>
          <t>N/A</t>
        </is>
      </c>
      <c r="I12" s="17" t="inlineStr">
        <is>
          <t>Dialog titled 'Add New Medicine' opens; defaults: dosage_form Tablet, unit Tablets, pack_size 10, drug schedule H, NLEM P, storage Room Temperature (15-25°C), GST 12, Generic and Essential checked. Required markers (*) on Medicine Name and Generic Name.</t>
        </is>
      </c>
      <c r="J12" s="17" t="inlineStr">
        <is>
          <t>N/A</t>
        </is>
      </c>
      <c r="K12" s="14" t="inlineStr"/>
      <c r="L12" s="15" t="inlineStr">
        <is>
          <t>Not Executed</t>
        </is>
      </c>
      <c r="M12" s="15" t="inlineStr"/>
      <c r="N12" s="15" t="inlineStr"/>
      <c r="O12" s="15" t="inlineStr"/>
      <c r="P12" s="14" t="inlineStr"/>
    </row>
    <row r="13" ht="120" customHeight="1">
      <c r="A13" s="16" t="inlineStr">
        <is>
          <t>INV-012</t>
        </is>
      </c>
      <c r="B13" s="17" t="inlineStr">
        <is>
          <t>Medicines Master</t>
        </is>
      </c>
      <c r="C13" s="17" t="inlineStr">
        <is>
          <t>Create medicine with all valid fields</t>
        </is>
      </c>
      <c r="D13" s="21" t="inlineStr">
        <is>
          <t>High</t>
        </is>
      </c>
      <c r="E13" s="17" t="inlineStr">
        <is>
          <t>Functional</t>
        </is>
      </c>
      <c r="F13" s="17" t="inlineStr">
        <is>
          <t>Logged in as admin (write permission).</t>
        </is>
      </c>
      <c r="G13" s="17" t="inlineStr">
        <is>
          <t>1. Open Add Medicine dialog.
2. Fill: Medicine Name 'Amoxicillin', Generic 'Amoxicillin', Brand 'Mox', Manufacturer 'Cipla', Dosage Form Capsule, Strength '500mg', Unit 'Capsules', Pack Size 10, Category 'Antibiotics', Schedule H, HSN '30049099', GST 12, Storage Room Temperature.
3. Click Create.</t>
        </is>
      </c>
      <c r="H13" s="17" t="inlineStr">
        <is>
          <t>Amoxicillin 500mg Capsule, GST 12%, HSN 30049099</t>
        </is>
      </c>
      <c r="I13" s="17" t="inlineStr">
        <is>
          <t>POST returns 201; dialog closes; green success banner 'Medicine created' (auto-hides after 3s); list refreshes and shows the new medicine with an auto-generated code.</t>
        </is>
      </c>
      <c r="J13" s="17" t="inlineStr">
        <is>
          <t>POST /api/inventory/medicines</t>
        </is>
      </c>
      <c r="K13" s="14" t="inlineStr"/>
      <c r="L13" s="15" t="inlineStr">
        <is>
          <t>Not Executed</t>
        </is>
      </c>
      <c r="M13" s="15" t="inlineStr"/>
      <c r="N13" s="15" t="inlineStr"/>
      <c r="O13" s="15" t="inlineStr"/>
      <c r="P13" s="14" t="inlineStr"/>
    </row>
    <row r="14" ht="60" customHeight="1">
      <c r="A14" s="16" t="inlineStr">
        <is>
          <t>INV-013</t>
        </is>
      </c>
      <c r="B14" s="17" t="inlineStr">
        <is>
          <t>Medicines Master</t>
        </is>
      </c>
      <c r="C14" s="17" t="inlineStr">
        <is>
          <t>Create medicine blocked when required names missing (client validation)</t>
        </is>
      </c>
      <c r="D14" s="21" t="inlineStr">
        <is>
          <t>High</t>
        </is>
      </c>
      <c r="E14" s="17" t="inlineStr">
        <is>
          <t>Validation</t>
        </is>
      </c>
      <c r="F14" s="17" t="inlineStr">
        <is>
          <t>Logged in as admin.</t>
        </is>
      </c>
      <c r="G14" s="17" t="inlineStr">
        <is>
          <t>1. Open Add Medicine dialog.
2. Leave Medicine Name and Generic Name blank, fill other fields.
3. Click Create.</t>
        </is>
      </c>
      <c r="H14" s="17" t="inlineStr">
        <is>
          <t>Medicine Name = blank, Generic Name = blank</t>
        </is>
      </c>
      <c r="I14" s="17" t="inlineStr">
        <is>
          <t>Inline red banner 'Medicine name and generic name are required'; no POST request is sent; dialog stays open.</t>
        </is>
      </c>
      <c r="J14" s="17" t="inlineStr">
        <is>
          <t>N/A (client-side guard before POST /api/inventory/medicines)</t>
        </is>
      </c>
      <c r="K14" s="14" t="inlineStr"/>
      <c r="L14" s="15" t="inlineStr">
        <is>
          <t>Not Executed</t>
        </is>
      </c>
      <c r="M14" s="15" t="inlineStr"/>
      <c r="N14" s="15" t="inlineStr"/>
      <c r="O14" s="15" t="inlineStr"/>
      <c r="P14" s="14" t="inlineStr"/>
    </row>
    <row r="15" ht="75" customHeight="1">
      <c r="A15" s="16" t="inlineStr">
        <is>
          <t>INV-014</t>
        </is>
      </c>
      <c r="B15" s="17" t="inlineStr">
        <is>
          <t>Medicines Master</t>
        </is>
      </c>
      <c r="C15" s="17" t="inlineStr">
        <is>
          <t>Create medicine - server validation (422) on over-length / invalid values</t>
        </is>
      </c>
      <c r="D15" s="18" t="inlineStr">
        <is>
          <t>Medium</t>
        </is>
      </c>
      <c r="E15" s="17" t="inlineStr">
        <is>
          <t>Negative</t>
        </is>
      </c>
      <c r="F15" s="17" t="inlineStr">
        <is>
          <t>Logged in as admin; use DevTools to inspect response.</t>
        </is>
      </c>
      <c r="G15" s="17" t="inlineStr">
        <is>
          <t>1. Open Add Medicine dialog.
2. Enter a Medicine Name longer than 200 characters and a GST % of 250.
3. Click Create.</t>
        </is>
      </c>
      <c r="H15" s="17" t="inlineStr">
        <is>
          <t>medicine_name = 250-char string, gst_percentage = 250</t>
        </is>
      </c>
      <c r="I15" s="17" t="inlineStr">
        <is>
          <t>Backend returns 422 with {message:'Validation error', errors:{...}} (Length max 200 / Range max 100). UI shows the server message text in the red banner; record not created.</t>
        </is>
      </c>
      <c r="J15" s="17" t="inlineStr">
        <is>
          <t>POST /api/inventory/medicines -&gt; 422</t>
        </is>
      </c>
      <c r="K15" s="14" t="inlineStr"/>
      <c r="L15" s="15" t="inlineStr">
        <is>
          <t>Not Executed</t>
        </is>
      </c>
      <c r="M15" s="15" t="inlineStr"/>
      <c r="N15" s="15" t="inlineStr"/>
      <c r="O15" s="15" t="inlineStr"/>
      <c r="P15" s="14" t="inlineStr"/>
    </row>
    <row r="16" ht="60" customHeight="1">
      <c r="A16" s="16" t="inlineStr">
        <is>
          <t>INV-015</t>
        </is>
      </c>
      <c r="B16" s="17" t="inlineStr">
        <is>
          <t>Medicines Master</t>
        </is>
      </c>
      <c r="C16" s="17" t="inlineStr">
        <is>
          <t>Create duplicate medicine returns 400 ValueError</t>
        </is>
      </c>
      <c r="D16" s="18" t="inlineStr">
        <is>
          <t>Medium</t>
        </is>
      </c>
      <c r="E16" s="17" t="inlineStr">
        <is>
          <t>Negative</t>
        </is>
      </c>
      <c r="F16" s="17" t="inlineStr">
        <is>
          <t>A medicine with a known name/code already exists.</t>
        </is>
      </c>
      <c r="G16" s="17" t="inlineStr">
        <is>
          <t>1. Open Add Medicine dialog.
2. Enter the same identifying details as an existing medicine.
3. Click Create.</t>
        </is>
      </c>
      <c r="H16" s="17" t="inlineStr">
        <is>
          <t>Duplicate of an existing seeded medicine</t>
        </is>
      </c>
      <c r="I16" s="17" t="inlineStr">
        <is>
          <t>If the service raises ValueError for duplicate, backend returns 400 with a message; UI shows that message in the red banner and does not add a duplicate row.</t>
        </is>
      </c>
      <c r="J16" s="17" t="inlineStr">
        <is>
          <t>POST /api/inventory/medicines -&gt; 400</t>
        </is>
      </c>
      <c r="K16" s="14" t="inlineStr"/>
      <c r="L16" s="15" t="inlineStr">
        <is>
          <t>Not Executed</t>
        </is>
      </c>
      <c r="M16" s="15" t="inlineStr"/>
      <c r="N16" s="15" t="inlineStr"/>
      <c r="O16" s="15" t="inlineStr"/>
      <c r="P16" s="14" t="inlineStr"/>
    </row>
    <row r="17" ht="120" customHeight="1">
      <c r="A17" s="16" t="inlineStr">
        <is>
          <t>INV-016</t>
        </is>
      </c>
      <c r="B17" s="17" t="inlineStr">
        <is>
          <t>Medicines Master</t>
        </is>
      </c>
      <c r="C17" s="17" t="inlineStr">
        <is>
          <t>Edit existing medicine pre-populates form and updates</t>
        </is>
      </c>
      <c r="D17" s="21" t="inlineStr">
        <is>
          <t>High</t>
        </is>
      </c>
      <c r="E17" s="17" t="inlineStr">
        <is>
          <t>Functional</t>
        </is>
      </c>
      <c r="F17" s="17" t="inlineStr">
        <is>
          <t>At least one medicine exists; logged in as admin.</t>
        </is>
      </c>
      <c r="G17" s="17" t="inlineStr">
        <is>
          <t>1. Click the pencil (Edit) icon on a medicine row.
2. Confirm dialog title 'Edit Medicine' and pre-filled values (drug_class and dosage_form have prefixes stripped/lowercased).
3. Change Strength to '650mg' and toggle Essential off.
4. Click Update.</t>
        </is>
      </c>
      <c r="H17" s="17" t="inlineStr">
        <is>
          <t>Strength: 650mg; Essential: unchecked</t>
        </is>
      </c>
      <c r="I17" s="17" t="inlineStr">
        <is>
          <t>PUT returns 200; success banner 'Medicine updated'; list reflects the new strength and Non-Essential status.</t>
        </is>
      </c>
      <c r="J17" s="17" t="inlineStr">
        <is>
          <t>PUT /api/inventory/medicines/{id}</t>
        </is>
      </c>
      <c r="K17" s="14" t="inlineStr"/>
      <c r="L17" s="15" t="inlineStr">
        <is>
          <t>Not Executed</t>
        </is>
      </c>
      <c r="M17" s="15" t="inlineStr"/>
      <c r="N17" s="15" t="inlineStr"/>
      <c r="O17" s="15" t="inlineStr"/>
      <c r="P17" s="14" t="inlineStr"/>
    </row>
    <row r="18" ht="75" customHeight="1">
      <c r="A18" s="16" t="inlineStr">
        <is>
          <t>INV-017</t>
        </is>
      </c>
      <c r="B18" s="17" t="inlineStr">
        <is>
          <t>Medicines Master</t>
        </is>
      </c>
      <c r="C18" s="17" t="inlineStr">
        <is>
          <t>Delete (deactivate) medicine with confirmation</t>
        </is>
      </c>
      <c r="D18" s="21" t="inlineStr">
        <is>
          <t>High</t>
        </is>
      </c>
      <c r="E18" s="17" t="inlineStr">
        <is>
          <t>Functional</t>
        </is>
      </c>
      <c r="F18" s="17" t="inlineStr">
        <is>
          <t>Logged in as admin (manage permission required for delete).</t>
        </is>
      </c>
      <c r="G18" s="17" t="inlineStr">
        <is>
          <t>1. Click the trash (Delete) icon on a medicine row.
2. Confirm the browser confirm dialog 'Delete this medicine?'.
3. Observe the list.</t>
        </is>
      </c>
      <c r="H18" s="17" t="inlineStr">
        <is>
          <t>N/A</t>
        </is>
      </c>
      <c r="I18" s="17" t="inlineStr">
        <is>
          <t>DELETE returns 200 'Medicine deactivated successfully'; success banner 'Deleted'; the medicine drops out of the active list (deactivated, not hard-deleted).</t>
        </is>
      </c>
      <c r="J18" s="17" t="inlineStr">
        <is>
          <t>DELETE /api/inventory/medicines/{id}</t>
        </is>
      </c>
      <c r="K18" s="14" t="inlineStr"/>
      <c r="L18" s="15" t="inlineStr">
        <is>
          <t>Not Executed</t>
        </is>
      </c>
      <c r="M18" s="15" t="inlineStr"/>
      <c r="N18" s="15" t="inlineStr"/>
      <c r="O18" s="15" t="inlineStr"/>
      <c r="P18" s="14" t="inlineStr"/>
    </row>
    <row r="19" ht="30" customHeight="1">
      <c r="A19" s="16" t="inlineStr">
        <is>
          <t>INV-018</t>
        </is>
      </c>
      <c r="B19" s="17" t="inlineStr">
        <is>
          <t>Medicines Master</t>
        </is>
      </c>
      <c r="C19" s="17" t="inlineStr">
        <is>
          <t>Cancel delete confirmation keeps medicine</t>
        </is>
      </c>
      <c r="D19" s="22" t="inlineStr">
        <is>
          <t>Low</t>
        </is>
      </c>
      <c r="E19" s="17" t="inlineStr">
        <is>
          <t>Functional</t>
        </is>
      </c>
      <c r="F19" s="17" t="inlineStr">
        <is>
          <t>Logged in as admin.</t>
        </is>
      </c>
      <c r="G19" s="17" t="inlineStr">
        <is>
          <t>1. Click the trash icon on a medicine row.
2. Click Cancel on the confirm dialog.</t>
        </is>
      </c>
      <c r="H19" s="17" t="inlineStr">
        <is>
          <t>N/A</t>
        </is>
      </c>
      <c r="I19" s="17" t="inlineStr">
        <is>
          <t>No DELETE request is sent; medicine remains in the list.</t>
        </is>
      </c>
      <c r="J19" s="17" t="inlineStr">
        <is>
          <t>N/A</t>
        </is>
      </c>
      <c r="K19" s="14" t="inlineStr"/>
      <c r="L19" s="15" t="inlineStr">
        <is>
          <t>Not Executed</t>
        </is>
      </c>
      <c r="M19" s="15" t="inlineStr"/>
      <c r="N19" s="15" t="inlineStr"/>
      <c r="O19" s="15" t="inlineStr"/>
      <c r="P19" s="14" t="inlineStr"/>
    </row>
    <row r="20" ht="75" customHeight="1">
      <c r="A20" s="16" t="inlineStr">
        <is>
          <t>INV-019</t>
        </is>
      </c>
      <c r="B20" s="17" t="inlineStr">
        <is>
          <t>Medicines Master</t>
        </is>
      </c>
      <c r="C20" s="17" t="inlineStr">
        <is>
          <t>Add/Edit dialog dismissal via overlay, X and Cancel</t>
        </is>
      </c>
      <c r="D20" s="22" t="inlineStr">
        <is>
          <t>Low</t>
        </is>
      </c>
      <c r="E20" s="17" t="inlineStr">
        <is>
          <t>UI/UX</t>
        </is>
      </c>
      <c r="F20" s="17" t="inlineStr">
        <is>
          <t>Logged in as admin.</t>
        </is>
      </c>
      <c r="G20" s="17" t="inlineStr">
        <is>
          <t>1. Open Add Medicine; click the dark overlay outside the card -&gt; dialog closes.
2. Re-open; click the X icon -&gt; closes.
3. Re-open; click Cancel -&gt; closes. Confirm clicks inside the card do NOT close it.</t>
        </is>
      </c>
      <c r="H20" s="17" t="inlineStr">
        <is>
          <t>N/A</t>
        </is>
      </c>
      <c r="I20" s="17" t="inlineStr">
        <is>
          <t>Dialog closes on overlay/X/Cancel and form resets to defaults; clicking inside the card does not close it (stopPropagation).</t>
        </is>
      </c>
      <c r="J20" s="17" t="inlineStr">
        <is>
          <t>N/A</t>
        </is>
      </c>
      <c r="K20" s="14" t="inlineStr"/>
      <c r="L20" s="15" t="inlineStr">
        <is>
          <t>Not Executed</t>
        </is>
      </c>
      <c r="M20" s="15" t="inlineStr"/>
      <c r="N20" s="15" t="inlineStr"/>
      <c r="O20" s="15" t="inlineStr"/>
      <c r="P20" s="14" t="inlineStr"/>
    </row>
    <row r="21" ht="60" customHeight="1">
      <c r="A21" s="16" t="inlineStr">
        <is>
          <t>INV-020</t>
        </is>
      </c>
      <c r="B21" s="17" t="inlineStr">
        <is>
          <t>Medicines Master</t>
        </is>
      </c>
      <c r="C21" s="17" t="inlineStr">
        <is>
          <t>Pack Size / GST numeric coercion in form</t>
        </is>
      </c>
      <c r="D21" s="22" t="inlineStr">
        <is>
          <t>Low</t>
        </is>
      </c>
      <c r="E21" s="17" t="inlineStr">
        <is>
          <t>Validation</t>
        </is>
      </c>
      <c r="F21" s="17" t="inlineStr">
        <is>
          <t>Logged in as admin.</t>
        </is>
      </c>
      <c r="G21" s="17" t="inlineStr">
        <is>
          <t>1. Open Add Medicine; clear Pack Size and type letters; clear GST and type letters.
2. Observe field values.</t>
        </is>
      </c>
      <c r="H21" s="17" t="inlineStr">
        <is>
          <t>Pack Size: abc; GST: xyz</t>
        </is>
      </c>
      <c r="I21" s="17" t="inlineStr">
        <is>
          <t>Non-numeric input resolves to 0 (parseInt/parseFloat fallback). Pack Size of 0 will later fail backend Range(min=1) returning 422 if submitted.</t>
        </is>
      </c>
      <c r="J21" s="17" t="inlineStr">
        <is>
          <t>POST /api/inventory/medicines -&gt; 422 (pack_size min 1)</t>
        </is>
      </c>
      <c r="K21" s="14" t="inlineStr"/>
      <c r="L21" s="15" t="inlineStr">
        <is>
          <t>Not Executed</t>
        </is>
      </c>
      <c r="M21" s="15" t="inlineStr"/>
      <c r="N21" s="15" t="inlineStr"/>
      <c r="O21" s="15" t="inlineStr"/>
      <c r="P21" s="14" t="inlineStr"/>
    </row>
    <row r="22" ht="75" customHeight="1">
      <c r="A22" s="16" t="inlineStr">
        <is>
          <t>INV-021</t>
        </is>
      </c>
      <c r="B22" s="17" t="inlineStr">
        <is>
          <t>Medicines Master</t>
        </is>
      </c>
      <c r="C22" s="17" t="inlineStr">
        <is>
          <t>Viewer role cannot create/edit/delete medicines (403)</t>
        </is>
      </c>
      <c r="D22" s="21" t="inlineStr">
        <is>
          <t>High</t>
        </is>
      </c>
      <c r="E22" s="17" t="inlineStr">
        <is>
          <t>Permission</t>
        </is>
      </c>
      <c r="F22" s="17" t="inlineStr">
        <is>
          <t>Logged in as the viewer (read-only) user.</t>
        </is>
      </c>
      <c r="G22" s="17" t="inlineStr">
        <is>
          <t>1. Open /inventory/medicines (should load).
2. Open Add Medicine and attempt to Create a valid medicine; watch the API response.
3. Attempt Edit and Delete on a row.</t>
        </is>
      </c>
      <c r="H22" s="17" t="inlineStr">
        <is>
          <t>Any valid medicine payload</t>
        </is>
      </c>
      <c r="I22" s="17" t="inlineStr">
        <is>
          <t>List GET succeeds (read). Create/Update return 403 'Insufficient permissions. Required: write'; Delete returns 403 'Required: manage'. UI shows the server message in the red banner; no data change.</t>
        </is>
      </c>
      <c r="J22" s="17" t="inlineStr">
        <is>
          <t>POST/PUT/DELETE /api/inventory/medicines -&gt; 403</t>
        </is>
      </c>
      <c r="K22" s="14" t="inlineStr"/>
      <c r="L22" s="15" t="inlineStr">
        <is>
          <t>Not Executed</t>
        </is>
      </c>
      <c r="M22" s="15" t="inlineStr"/>
      <c r="N22" s="15" t="inlineStr"/>
      <c r="O22" s="15" t="inlineStr"/>
      <c r="P22" s="14" t="inlineStr"/>
    </row>
    <row r="23" ht="75" customHeight="1">
      <c r="A23" s="11" t="inlineStr">
        <is>
          <t>INV-022</t>
        </is>
      </c>
      <c r="B23" s="12" t="inlineStr">
        <is>
          <t>Stock Management</t>
        </is>
      </c>
      <c r="C23" s="12" t="inlineStr">
        <is>
          <t>Stock Management list loads with all columns</t>
        </is>
      </c>
      <c r="D23" s="13" t="inlineStr">
        <is>
          <t>High</t>
        </is>
      </c>
      <c r="E23" s="12" t="inlineStr">
        <is>
          <t>Functional</t>
        </is>
      </c>
      <c r="F23" s="12" t="inlineStr">
        <is>
          <t>Logged in as admin; stock seeded.</t>
        </is>
      </c>
      <c r="G23" s="12" t="inlineStr">
        <is>
          <t>1. Navigate to /inventory/stock.
2. Verify a linear loading bar then the table with columns: Medicine, Location, Current Stock, PAR Level, Reorder Level, Stock Level, Category, Value, Status.</t>
        </is>
      </c>
      <c r="H23" s="12" t="inlineStr">
        <is>
          <t>N/A</t>
        </is>
      </c>
      <c r="I23" s="12" t="inlineStr">
        <is>
          <t>Rows render with medicine name+generic, location, numeric quantities, a stock-level progress bar, matrix category chip, ₹ value, and a status chip (Optimal/Low/Critical/Overstocked with prefix stripped).</t>
        </is>
      </c>
      <c r="J23" s="12" t="inlineStr">
        <is>
          <t>GET /api/inventory/stock?page=1&amp;per_page=25</t>
        </is>
      </c>
      <c r="K23" s="14" t="inlineStr"/>
      <c r="L23" s="15" t="inlineStr">
        <is>
          <t>Not Executed</t>
        </is>
      </c>
      <c r="M23" s="15" t="inlineStr"/>
      <c r="N23" s="15" t="inlineStr"/>
      <c r="O23" s="15" t="inlineStr"/>
      <c r="P23" s="14" t="inlineStr"/>
    </row>
    <row r="24" ht="60" customHeight="1">
      <c r="A24" s="11" t="inlineStr">
        <is>
          <t>INV-023</t>
        </is>
      </c>
      <c r="B24" s="12" t="inlineStr">
        <is>
          <t>Stock Management</t>
        </is>
      </c>
      <c r="C24" s="12" t="inlineStr">
        <is>
          <t>Filter stock by Location</t>
        </is>
      </c>
      <c r="D24" s="13" t="inlineStr">
        <is>
          <t>High</t>
        </is>
      </c>
      <c r="E24" s="12" t="inlineStr">
        <is>
          <t>Functional</t>
        </is>
      </c>
      <c r="F24" s="12" t="inlineStr">
        <is>
          <t>At least 2 locations with stock.</t>
        </is>
      </c>
      <c r="G24" s="12" t="inlineStr">
        <is>
          <t>1. On /inventory/stock open 'Filter by Location' dropdown (populated from getLocations).
2. Select 'Central Store'.
3. Watch the Network call and table.</t>
        </is>
      </c>
      <c r="H24" s="12" t="inlineStr">
        <is>
          <t>Location: Central Store</t>
        </is>
      </c>
      <c r="I24" s="12" t="inlineStr">
        <is>
          <t>List re-fetches with location_id=&lt;id&gt;; only that location's stock shows. 'All Locations' clears the filter.</t>
        </is>
      </c>
      <c r="J24" s="12" t="inlineStr">
        <is>
          <t>GET /api/inventory/stock?location_id={id}, GET /api/inventory/locations</t>
        </is>
      </c>
      <c r="K24" s="14" t="inlineStr"/>
      <c r="L24" s="15" t="inlineStr">
        <is>
          <t>Not Executed</t>
        </is>
      </c>
      <c r="M24" s="15" t="inlineStr"/>
      <c r="N24" s="15" t="inlineStr"/>
      <c r="O24" s="15" t="inlineStr"/>
      <c r="P24" s="14" t="inlineStr"/>
    </row>
    <row r="25" ht="45" customHeight="1">
      <c r="A25" s="11" t="inlineStr">
        <is>
          <t>INV-024</t>
        </is>
      </c>
      <c r="B25" s="12" t="inlineStr">
        <is>
          <t>Stock Management</t>
        </is>
      </c>
      <c r="C25" s="12" t="inlineStr">
        <is>
          <t>Filter stock by Status</t>
        </is>
      </c>
      <c r="D25" s="19" t="inlineStr">
        <is>
          <t>Medium</t>
        </is>
      </c>
      <c r="E25" s="12" t="inlineStr">
        <is>
          <t>Functional</t>
        </is>
      </c>
      <c r="F25" s="12" t="inlineStr">
        <is>
          <t>Stock exists across statuses.</t>
        </is>
      </c>
      <c r="G25" s="12" t="inlineStr">
        <is>
          <t>1. Select 'Filter by Status' = Low Stock.
2. Repeat for Critical, Optimal, Overstocked, and All Status.</t>
        </is>
      </c>
      <c r="H25" s="12" t="inlineStr">
        <is>
          <t>Status: LOW / CRITICAL / OPTIMAL / OVERSTOCKED</t>
        </is>
      </c>
      <c r="I25" s="12" t="inlineStr">
        <is>
          <t>Each selection re-fetches with status=&lt;value&gt; and only matching rows display; All Status clears it.</t>
        </is>
      </c>
      <c r="J25" s="12" t="inlineStr">
        <is>
          <t>GET /api/inventory/stock?status=LOW</t>
        </is>
      </c>
      <c r="K25" s="14" t="inlineStr"/>
      <c r="L25" s="15" t="inlineStr">
        <is>
          <t>Not Executed</t>
        </is>
      </c>
      <c r="M25" s="15" t="inlineStr"/>
      <c r="N25" s="15" t="inlineStr"/>
      <c r="O25" s="15" t="inlineStr"/>
      <c r="P25" s="14" t="inlineStr"/>
    </row>
    <row r="26" ht="60" customHeight="1">
      <c r="A26" s="11" t="inlineStr">
        <is>
          <t>INV-025</t>
        </is>
      </c>
      <c r="B26" s="12" t="inlineStr">
        <is>
          <t>Stock Management</t>
        </is>
      </c>
      <c r="C26" s="12" t="inlineStr">
        <is>
          <t>Stock-level progress bar colour thresholds</t>
        </is>
      </c>
      <c r="D26" s="20" t="inlineStr">
        <is>
          <t>Low</t>
        </is>
      </c>
      <c r="E26" s="12" t="inlineStr">
        <is>
          <t>UI/UX</t>
        </is>
      </c>
      <c r="F26" s="12" t="inlineStr">
        <is>
          <t>Stock rows with varying current vs PAR.</t>
        </is>
      </c>
      <c r="G26" s="12" t="inlineStr">
        <is>
          <t>1. Inspect a row where current/PAR &lt; 25% (bar red), one 25-50% (warning/amber), and one &gt;=50% (green).</t>
        </is>
      </c>
      <c r="H26" s="12" t="inlineStr">
        <is>
          <t>N/A</t>
        </is>
      </c>
      <c r="I26" s="12" t="inlineStr">
        <is>
          <t>getStockLevel = min(current/PAR*100, 200); bar value capped at 100; colour error &lt;25, warning &lt;50, else success. Percentage label matches.</t>
        </is>
      </c>
      <c r="J26" s="12" t="inlineStr">
        <is>
          <t>N/A</t>
        </is>
      </c>
      <c r="K26" s="14" t="inlineStr"/>
      <c r="L26" s="15" t="inlineStr">
        <is>
          <t>Not Executed</t>
        </is>
      </c>
      <c r="M26" s="15" t="inlineStr"/>
      <c r="N26" s="15" t="inlineStr"/>
      <c r="O26" s="15" t="inlineStr"/>
      <c r="P26" s="14" t="inlineStr"/>
    </row>
    <row r="27" ht="120" customHeight="1">
      <c r="A27" s="11" t="inlineStr">
        <is>
          <t>INV-026</t>
        </is>
      </c>
      <c r="B27" s="12" t="inlineStr">
        <is>
          <t>Stock Management</t>
        </is>
      </c>
      <c r="C27" s="12" t="inlineStr">
        <is>
          <t>Stock pagination control (client count caveat)</t>
        </is>
      </c>
      <c r="D27" s="19" t="inlineStr">
        <is>
          <t>Medium</t>
        </is>
      </c>
      <c r="E27" s="12" t="inlineStr">
        <is>
          <t>Edge Case</t>
        </is>
      </c>
      <c r="F27" s="12" t="inlineStr">
        <is>
          <t>More than one page of stock would exist server-side.</t>
        </is>
      </c>
      <c r="G27" s="12" t="inlineStr">
        <is>
          <t>1. On /inventory/stock change Rows per page to 10.
2. Use the TablePagination next-page arrow.
3. Compare displayed count with actual data.</t>
        </is>
      </c>
      <c r="H27" s="12" t="inlineStr">
        <is>
          <t>Rows per page: 10</t>
        </is>
      </c>
      <c r="I27" s="12" t="inlineStr">
        <is>
          <t>Changing rows-per-page resets page to 0 and re-fetches with the new per_page. NOTE/DEFECT-WATCH: pagination count is bound to the current page's array length (stockItems.length), not a server total, so the total-records label and last-page detection may be inaccurate. Log as a defect if next page returns empty unexpectedly.</t>
        </is>
      </c>
      <c r="J27" s="12" t="inlineStr">
        <is>
          <t>GET /api/inventory/stock?page=2&amp;per_page=10</t>
        </is>
      </c>
      <c r="K27" s="14" t="inlineStr"/>
      <c r="L27" s="15" t="inlineStr">
        <is>
          <t>Not Executed</t>
        </is>
      </c>
      <c r="M27" s="15" t="inlineStr"/>
      <c r="N27" s="15" t="inlineStr"/>
      <c r="O27" s="15" t="inlineStr"/>
      <c r="P27" s="14" t="inlineStr"/>
    </row>
    <row r="28" ht="75" customHeight="1">
      <c r="A28" s="11" t="inlineStr">
        <is>
          <t>INV-027</t>
        </is>
      </c>
      <c r="B28" s="12" t="inlineStr">
        <is>
          <t>Stock Management</t>
        </is>
      </c>
      <c r="C28" s="12" t="inlineStr">
        <is>
          <t>Stock empty state and API error banner</t>
        </is>
      </c>
      <c r="D28" s="20" t="inlineStr">
        <is>
          <t>Low</t>
        </is>
      </c>
      <c r="E28" s="12" t="inlineStr">
        <is>
          <t>UI/UX</t>
        </is>
      </c>
      <c r="F28" s="12" t="inlineStr">
        <is>
          <t>Filter combination that yields no rows; ability to force an error.</t>
        </is>
      </c>
      <c r="G28" s="12" t="inlineStr">
        <is>
          <t>1. Apply a location+status filter combination that returns no rows -&gt; expect 'No stock items found'.
2. Force /inventory/stock to fail (block in DevTools) and refresh -&gt; expect the error Alert.</t>
        </is>
      </c>
      <c r="H28" s="12" t="inlineStr">
        <is>
          <t>N/A</t>
        </is>
      </c>
      <c r="I28" s="12" t="inlineStr">
        <is>
          <t>Empty state row 'No stock items found'; on failure a dismissible red Alert 'Failed to load stock items' appears.</t>
        </is>
      </c>
      <c r="J28" s="12" t="inlineStr">
        <is>
          <t>GET /api/inventory/stock</t>
        </is>
      </c>
      <c r="K28" s="14" t="inlineStr"/>
      <c r="L28" s="15" t="inlineStr">
        <is>
          <t>Not Executed</t>
        </is>
      </c>
      <c r="M28" s="15" t="inlineStr"/>
      <c r="N28" s="15" t="inlineStr"/>
      <c r="O28" s="15" t="inlineStr"/>
      <c r="P28" s="14" t="inlineStr"/>
    </row>
    <row r="29" ht="30" customHeight="1">
      <c r="A29" s="11" t="inlineStr">
        <is>
          <t>INV-028</t>
        </is>
      </c>
      <c r="B29" s="12" t="inlineStr">
        <is>
          <t>Stock Management</t>
        </is>
      </c>
      <c r="C29" s="12" t="inlineStr">
        <is>
          <t>Stock value currency formatting</t>
        </is>
      </c>
      <c r="D29" s="20" t="inlineStr">
        <is>
          <t>Low</t>
        </is>
      </c>
      <c r="E29" s="12" t="inlineStr">
        <is>
          <t>UI/UX</t>
        </is>
      </c>
      <c r="F29" s="12" t="inlineStr">
        <is>
          <t>Stock with non-zero total_value.</t>
        </is>
      </c>
      <c r="G29" s="12" t="inlineStr">
        <is>
          <t>1. Inspect the Value column for a high-value row.</t>
        </is>
      </c>
      <c r="H29" s="12" t="inlineStr">
        <is>
          <t>N/A</t>
        </is>
      </c>
      <c r="I29" s="12" t="inlineStr">
        <is>
          <t>Value shows as ₹ with en-IN grouping and exactly two decimals (e.g. ₹1,25,000.00).</t>
        </is>
      </c>
      <c r="J29" s="12" t="inlineStr">
        <is>
          <t>N/A</t>
        </is>
      </c>
      <c r="K29" s="14" t="inlineStr"/>
      <c r="L29" s="15" t="inlineStr">
        <is>
          <t>Not Executed</t>
        </is>
      </c>
      <c r="M29" s="15" t="inlineStr"/>
      <c r="N29" s="15" t="inlineStr"/>
      <c r="O29" s="15" t="inlineStr"/>
      <c r="P29" s="14" t="inlineStr"/>
    </row>
    <row r="30" ht="105" customHeight="1">
      <c r="A30" s="16" t="inlineStr">
        <is>
          <t>INV-029</t>
        </is>
      </c>
      <c r="B30" s="17" t="inlineStr">
        <is>
          <t>Purchase Orders</t>
        </is>
      </c>
      <c r="C30" s="17" t="inlineStr">
        <is>
          <t>PO list loads with columns and status badges</t>
        </is>
      </c>
      <c r="D30" s="21" t="inlineStr">
        <is>
          <t>High</t>
        </is>
      </c>
      <c r="E30" s="17" t="inlineStr">
        <is>
          <t>Functional</t>
        </is>
      </c>
      <c r="F30" s="17" t="inlineStr">
        <is>
          <t>At least one PO exists; logged in as admin.</t>
        </is>
      </c>
      <c r="G30" s="17" t="inlineStr">
        <is>
          <t>1. Navigate to /inventory/purchase-orders.
2. Verify columns: PO Number, Date, Supplier, Expected Delivery, Total Amount, Status, Actions.
3. Verify status badges use the correct colour/label mapping (Draft, Pending Approval, Approved, Sent to Supplier, Partially Received, Received, Cancelled).</t>
        </is>
      </c>
      <c r="H30" s="17" t="inlineStr">
        <is>
          <t>N/A</t>
        </is>
      </c>
      <c r="I30" s="17" t="inlineStr">
        <is>
          <t>POs list (20/page); dates formatted dd MMM yyyy; total amount with ₹ en-IN 2-dp; badge label/colour matches status.</t>
        </is>
      </c>
      <c r="J30" s="17" t="inlineStr">
        <is>
          <t>GET /api/inventory/purchase-orders?page=1&amp;per_page=20</t>
        </is>
      </c>
      <c r="K30" s="14" t="inlineStr"/>
      <c r="L30" s="15" t="inlineStr">
        <is>
          <t>Not Executed</t>
        </is>
      </c>
      <c r="M30" s="15" t="inlineStr"/>
      <c r="N30" s="15" t="inlineStr"/>
      <c r="O30" s="15" t="inlineStr"/>
      <c r="P30" s="14" t="inlineStr"/>
    </row>
    <row r="31" ht="60" customHeight="1">
      <c r="A31" s="16" t="inlineStr">
        <is>
          <t>INV-030</t>
        </is>
      </c>
      <c r="B31" s="17" t="inlineStr">
        <is>
          <t>Purchase Orders</t>
        </is>
      </c>
      <c r="C31" s="17" t="inlineStr">
        <is>
          <t>PO list status filter triggers server re-fetch</t>
        </is>
      </c>
      <c r="D31" s="21" t="inlineStr">
        <is>
          <t>High</t>
        </is>
      </c>
      <c r="E31" s="17" t="inlineStr">
        <is>
          <t>Functional</t>
        </is>
      </c>
      <c r="F31" s="17" t="inlineStr">
        <is>
          <t>POs in various statuses.</t>
        </is>
      </c>
      <c r="G31" s="17" t="inlineStr">
        <is>
          <t>1. Open the 'Filter by status' Select and choose 'Approved'.
2. Watch the Network request.
3. Choose 'All Status'.</t>
        </is>
      </c>
      <c r="H31" s="17" t="inlineStr">
        <is>
          <t>Status: approved</t>
        </is>
      </c>
      <c r="I31" s="17" t="inlineStr">
        <is>
          <t>Selecting a status re-fetches with status=approved; only approved POs show. 'All Status' (value 'all') is treated as no filter.</t>
        </is>
      </c>
      <c r="J31" s="17" t="inlineStr">
        <is>
          <t>GET /api/inventory/purchase-orders?status=approved</t>
        </is>
      </c>
      <c r="K31" s="14" t="inlineStr"/>
      <c r="L31" s="15" t="inlineStr">
        <is>
          <t>Not Executed</t>
        </is>
      </c>
      <c r="M31" s="15" t="inlineStr"/>
      <c r="N31" s="15" t="inlineStr"/>
      <c r="O31" s="15" t="inlineStr"/>
      <c r="P31" s="14" t="inlineStr"/>
    </row>
    <row r="32" ht="75" customHeight="1">
      <c r="A32" s="16" t="inlineStr">
        <is>
          <t>INV-031</t>
        </is>
      </c>
      <c r="B32" s="17" t="inlineStr">
        <is>
          <t>Purchase Orders</t>
        </is>
      </c>
      <c r="C32" s="17" t="inlineStr">
        <is>
          <t>PO list search is client-side (current page only)</t>
        </is>
      </c>
      <c r="D32" s="18" t="inlineStr">
        <is>
          <t>Medium</t>
        </is>
      </c>
      <c r="E32" s="17" t="inlineStr">
        <is>
          <t>Edge Case</t>
        </is>
      </c>
      <c r="F32" s="17" t="inlineStr">
        <is>
          <t>Multiple POs across pages.</t>
        </is>
      </c>
      <c r="G32" s="17" t="inlineStr">
        <is>
          <t>1. Type a PO number or supplier name in the search box.
2. Observe filtering.</t>
        </is>
      </c>
      <c r="H32" s="17" t="inlineStr">
        <is>
          <t>Search: PO-2026 or supplier name</t>
        </is>
      </c>
      <c r="I32" s="17" t="inlineStr">
        <is>
          <t>Filtering happens in the browser over the already-loaded 20 records (po_number or supplier.supplier_name). DEFECT-WATCH: a PO on another page will not be found via search since search does not call the API.</t>
        </is>
      </c>
      <c r="J32" s="17" t="inlineStr">
        <is>
          <t>N/A (client-side filter)</t>
        </is>
      </c>
      <c r="K32" s="14" t="inlineStr"/>
      <c r="L32" s="15" t="inlineStr">
        <is>
          <t>Not Executed</t>
        </is>
      </c>
      <c r="M32" s="15" t="inlineStr"/>
      <c r="N32" s="15" t="inlineStr"/>
      <c r="O32" s="15" t="inlineStr"/>
      <c r="P32" s="14" t="inlineStr"/>
    </row>
    <row r="33" ht="60" customHeight="1">
      <c r="A33" s="16" t="inlineStr">
        <is>
          <t>INV-032</t>
        </is>
      </c>
      <c r="B33" s="17" t="inlineStr">
        <is>
          <t>Purchase Orders</t>
        </is>
      </c>
      <c r="C33" s="17" t="inlineStr">
        <is>
          <t>PO list empty state and 'Create Your First PO'</t>
        </is>
      </c>
      <c r="D33" s="22" t="inlineStr">
        <is>
          <t>Low</t>
        </is>
      </c>
      <c r="E33" s="17" t="inlineStr">
        <is>
          <t>UI/UX</t>
        </is>
      </c>
      <c r="F33" s="17" t="inlineStr">
        <is>
          <t>A status filter that returns zero POs, or no POs at all.</t>
        </is>
      </c>
      <c r="G33" s="17" t="inlineStr">
        <is>
          <t>1. Filter by a status that has no POs (e.g. cancelled when none cancelled).
2. Observe empty state.</t>
        </is>
      </c>
      <c r="H33" s="17" t="inlineStr">
        <is>
          <t>N/A</t>
        </is>
      </c>
      <c r="I33" s="17" t="inlineStr">
        <is>
          <t>Centered FileText icon, 'No purchase orders found', and a 'Create Your First PO' button routing to /inventory/purchase-orders/new.</t>
        </is>
      </c>
      <c r="J33" s="17" t="inlineStr">
        <is>
          <t>GET /api/inventory/purchase-orders?status=cancelled</t>
        </is>
      </c>
      <c r="K33" s="14" t="inlineStr"/>
      <c r="L33" s="15" t="inlineStr">
        <is>
          <t>Not Executed</t>
        </is>
      </c>
      <c r="M33" s="15" t="inlineStr"/>
      <c r="N33" s="15" t="inlineStr"/>
      <c r="O33" s="15" t="inlineStr"/>
      <c r="P33" s="14" t="inlineStr"/>
    </row>
    <row r="34" ht="60" customHeight="1">
      <c r="A34" s="16" t="inlineStr">
        <is>
          <t>INV-033</t>
        </is>
      </c>
      <c r="B34" s="17" t="inlineStr">
        <is>
          <t>Purchase Orders</t>
        </is>
      </c>
      <c r="C34" s="17" t="inlineStr">
        <is>
          <t>PO list pagination and skeleton loading</t>
        </is>
      </c>
      <c r="D34" s="18" t="inlineStr">
        <is>
          <t>Medium</t>
        </is>
      </c>
      <c r="E34" s="17" t="inlineStr">
        <is>
          <t>Functional</t>
        </is>
      </c>
      <c r="F34" s="17" t="inlineStr">
        <is>
          <t>More than 20 POs exist.</t>
        </is>
      </c>
      <c r="G34" s="17" t="inlineStr">
        <is>
          <t>1. Open /inventory/purchase-orders and observe skeleton rows during load.
2. If pages &gt; 1, click Next and Previous; verify disabled states at boundaries.</t>
        </is>
      </c>
      <c r="H34" s="17" t="inlineStr">
        <is>
          <t>N/A</t>
        </is>
      </c>
      <c r="I34" s="17" t="inlineStr">
        <is>
          <t>5 skeleton bars show while loading; pagination shows 'Page X of N'; Previous disabled on page 1, Next disabled on last page (totalPages from response.pages).</t>
        </is>
      </c>
      <c r="J34" s="17" t="inlineStr">
        <is>
          <t>GET /api/inventory/purchase-orders?page=2</t>
        </is>
      </c>
      <c r="K34" s="14" t="inlineStr"/>
      <c r="L34" s="15" t="inlineStr">
        <is>
          <t>Not Executed</t>
        </is>
      </c>
      <c r="M34" s="15" t="inlineStr"/>
      <c r="N34" s="15" t="inlineStr"/>
      <c r="O34" s="15" t="inlineStr"/>
      <c r="P34" s="14" t="inlineStr"/>
    </row>
    <row r="35" ht="60" customHeight="1">
      <c r="A35" s="16" t="inlineStr">
        <is>
          <t>INV-034</t>
        </is>
      </c>
      <c r="B35" s="17" t="inlineStr">
        <is>
          <t>Purchase Orders</t>
        </is>
      </c>
      <c r="C35" s="17" t="inlineStr">
        <is>
          <t>PO Wizard Step 1 required-field validation</t>
        </is>
      </c>
      <c r="D35" s="21" t="inlineStr">
        <is>
          <t>High</t>
        </is>
      </c>
      <c r="E35" s="17" t="inlineStr">
        <is>
          <t>Validation</t>
        </is>
      </c>
      <c r="F35" s="17" t="inlineStr">
        <is>
          <t>Logged in as admin.</t>
        </is>
      </c>
      <c r="G35" s="17" t="inlineStr">
        <is>
          <t>1. Open /inventory/purchase-orders/new.
2. On Step 1 (Basic Information) click Next without selecting supplier, date, or location.</t>
        </is>
      </c>
      <c r="H35" s="17" t="inlineStr">
        <is>
          <t>All Step 1 fields empty</t>
        </is>
      </c>
      <c r="I35" s="17" t="inlineStr">
        <is>
          <t>Inline errors: 'Supplier is required', 'Expected delivery date is required', 'Delivery location is required'; wizard stays on Step 1; date field border turns red.</t>
        </is>
      </c>
      <c r="J35" s="17" t="inlineStr">
        <is>
          <t>N/A</t>
        </is>
      </c>
      <c r="K35" s="14" t="inlineStr"/>
      <c r="L35" s="15" t="inlineStr">
        <is>
          <t>Not Executed</t>
        </is>
      </c>
      <c r="M35" s="15" t="inlineStr"/>
      <c r="N35" s="15" t="inlineStr"/>
      <c r="O35" s="15" t="inlineStr"/>
      <c r="P35" s="14" t="inlineStr"/>
    </row>
    <row r="36" ht="75" customHeight="1">
      <c r="A36" s="16" t="inlineStr">
        <is>
          <t>INV-035</t>
        </is>
      </c>
      <c r="B36" s="17" t="inlineStr">
        <is>
          <t>Purchase Orders</t>
        </is>
      </c>
      <c r="C36" s="17" t="inlineStr">
        <is>
          <t>PO Wizard Step 1 - SupplierSelector search and selection</t>
        </is>
      </c>
      <c r="D36" s="21" t="inlineStr">
        <is>
          <t>High</t>
        </is>
      </c>
      <c r="E36" s="17" t="inlineStr">
        <is>
          <t>Functional</t>
        </is>
      </c>
      <c r="F36" s="17" t="inlineStr">
        <is>
          <t>At least 2 suppliers, one preferred.</t>
        </is>
      </c>
      <c r="G36" s="17" t="inlineStr">
        <is>
          <t>1. Open the Supplier dropdown; type part of a supplier name in the in-dropdown search.
2. Select a supplier.
3. Confirm the details panel (Contact/Email/Lead Time/Payment) appears.</t>
        </is>
      </c>
      <c r="H36" s="17" t="inlineStr">
        <is>
          <t>Supplier: MedPlus Distributors</t>
        </is>
      </c>
      <c r="I36" s="17" t="inlineStr">
        <is>
          <t>Suppliers load sorted preferred-first then by rating; search filters by supplier_name/company_name; selecting shows a 'Preferred' badge if applicable and the details card.</t>
        </is>
      </c>
      <c r="J36" s="17" t="inlineStr">
        <is>
          <t>GET /api/inventory/suppliers?is_active=true</t>
        </is>
      </c>
      <c r="K36" s="14" t="inlineStr"/>
      <c r="L36" s="15" t="inlineStr">
        <is>
          <t>Not Executed</t>
        </is>
      </c>
      <c r="M36" s="15" t="inlineStr"/>
      <c r="N36" s="15" t="inlineStr"/>
      <c r="O36" s="15" t="inlineStr"/>
      <c r="P36" s="14" t="inlineStr"/>
    </row>
    <row r="37" ht="45" customHeight="1">
      <c r="A37" s="16" t="inlineStr">
        <is>
          <t>INV-036</t>
        </is>
      </c>
      <c r="B37" s="17" t="inlineStr">
        <is>
          <t>Purchase Orders</t>
        </is>
      </c>
      <c r="C37" s="17" t="inlineStr">
        <is>
          <t>PO Wizard Step 1 - Expected delivery date cannot be in the past</t>
        </is>
      </c>
      <c r="D37" s="18" t="inlineStr">
        <is>
          <t>Medium</t>
        </is>
      </c>
      <c r="E37" s="17" t="inlineStr">
        <is>
          <t>Validation</t>
        </is>
      </c>
      <c r="F37" s="17" t="inlineStr">
        <is>
          <t>Logged in as admin; today is 2026-06-01.</t>
        </is>
      </c>
      <c r="G37" s="17" t="inlineStr">
        <is>
          <t>1. Open the Expected Delivery Date calendar popover.
2. Attempt to select a date before today.</t>
        </is>
      </c>
      <c r="H37" s="17" t="inlineStr">
        <is>
          <t>Date &lt; 2026-06-01</t>
        </is>
      </c>
      <c r="I37" s="17" t="inlineStr">
        <is>
          <t>Past dates are disabled (date &lt; new Date()); only today or future dates can be picked.</t>
        </is>
      </c>
      <c r="J37" s="17" t="inlineStr">
        <is>
          <t>N/A</t>
        </is>
      </c>
      <c r="K37" s="14" t="inlineStr"/>
      <c r="L37" s="15" t="inlineStr">
        <is>
          <t>Not Executed</t>
        </is>
      </c>
      <c r="M37" s="15" t="inlineStr"/>
      <c r="N37" s="15" t="inlineStr"/>
      <c r="O37" s="15" t="inlineStr"/>
      <c r="P37" s="14" t="inlineStr"/>
    </row>
    <row r="38" ht="60" customHeight="1">
      <c r="A38" s="16" t="inlineStr">
        <is>
          <t>INV-037</t>
        </is>
      </c>
      <c r="B38" s="17" t="inlineStr">
        <is>
          <t>Purchase Orders</t>
        </is>
      </c>
      <c r="C38" s="17" t="inlineStr">
        <is>
          <t>PO Wizard Step 1 - LocationSelector lists active locations with type badges</t>
        </is>
      </c>
      <c r="D38" s="18" t="inlineStr">
        <is>
          <t>Medium</t>
        </is>
      </c>
      <c r="E38" s="17" t="inlineStr">
        <is>
          <t>Functional</t>
        </is>
      </c>
      <c r="F38" s="17" t="inlineStr">
        <is>
          <t>Active locations exist.</t>
        </is>
      </c>
      <c r="G38" s="17" t="inlineStr">
        <is>
          <t>1. Open the Delivery Location dropdown.
2. Select a location.</t>
        </is>
      </c>
      <c r="H38" s="17" t="inlineStr">
        <is>
          <t>Location: Central Store</t>
        </is>
      </c>
      <c r="I38" s="17" t="inlineStr">
        <is>
          <t>Locations load (is_active true); each shows a coloured type badge (Central Store/Pharmacy/etc.) and building/floor/room if present; selection shows the summary panel.</t>
        </is>
      </c>
      <c r="J38" s="17" t="inlineStr">
        <is>
          <t>GET /api/inventory/locations?is_active=true</t>
        </is>
      </c>
      <c r="K38" s="14" t="inlineStr"/>
      <c r="L38" s="15" t="inlineStr">
        <is>
          <t>Not Executed</t>
        </is>
      </c>
      <c r="M38" s="15" t="inlineStr"/>
      <c r="N38" s="15" t="inlineStr"/>
      <c r="O38" s="15" t="inlineStr"/>
      <c r="P38" s="14" t="inlineStr"/>
    </row>
    <row r="39" ht="45" customHeight="1">
      <c r="A39" s="16" t="inlineStr">
        <is>
          <t>INV-038</t>
        </is>
      </c>
      <c r="B39" s="17" t="inlineStr">
        <is>
          <t>Purchase Orders</t>
        </is>
      </c>
      <c r="C39" s="17" t="inlineStr">
        <is>
          <t>PO Wizard Step 2 requires at least one item</t>
        </is>
      </c>
      <c r="D39" s="21" t="inlineStr">
        <is>
          <t>High</t>
        </is>
      </c>
      <c r="E39" s="17" t="inlineStr">
        <is>
          <t>Validation</t>
        </is>
      </c>
      <c r="F39" s="17" t="inlineStr">
        <is>
          <t>Step 1 completed.</t>
        </is>
      </c>
      <c r="G39" s="17" t="inlineStr">
        <is>
          <t>1. Advance to Step 2 (Add Items) with no items added.
2. Click Next.</t>
        </is>
      </c>
      <c r="H39" s="17" t="inlineStr">
        <is>
          <t>items = []</t>
        </is>
      </c>
      <c r="I39" s="17" t="inlineStr">
        <is>
          <t>Error 'Please add at least one item to the purchase order'; the POItemsTable empty state shows; cannot proceed.</t>
        </is>
      </c>
      <c r="J39" s="17" t="inlineStr">
        <is>
          <t>N/A</t>
        </is>
      </c>
      <c r="K39" s="14" t="inlineStr"/>
      <c r="L39" s="15" t="inlineStr">
        <is>
          <t>Not Executed</t>
        </is>
      </c>
      <c r="M39" s="15" t="inlineStr"/>
      <c r="N39" s="15" t="inlineStr"/>
      <c r="O39" s="15" t="inlineStr"/>
      <c r="P39" s="14" t="inlineStr"/>
    </row>
    <row r="40" ht="75" customHeight="1">
      <c r="A40" s="16" t="inlineStr">
        <is>
          <t>INV-039</t>
        </is>
      </c>
      <c r="B40" s="17" t="inlineStr">
        <is>
          <t>Purchase Orders</t>
        </is>
      </c>
      <c r="C40" s="17" t="inlineStr">
        <is>
          <t>PO Wizard Step 2 - POItemsTable medicine search and add</t>
        </is>
      </c>
      <c r="D40" s="21" t="inlineStr">
        <is>
          <t>High</t>
        </is>
      </c>
      <c r="E40" s="17" t="inlineStr">
        <is>
          <t>Functional</t>
        </is>
      </c>
      <c r="F40" s="17" t="inlineStr">
        <is>
          <t>Medicines seeded.</t>
        </is>
      </c>
      <c r="G40" s="17" t="inlineStr">
        <is>
          <t>1. On Step 2 click 'Add Medicine' to reveal the search card.
2. Type at least 3 characters of a medicine name.
3. Click a result to add it as a row.</t>
        </is>
      </c>
      <c r="H40" s="17" t="inlineStr">
        <is>
          <t>Search: Paracetamol (&gt;=3 chars)</t>
        </is>
      </c>
      <c r="I40" s="17" t="inlineStr">
        <is>
          <t>Search fires only when length &gt; 2; results show name/generic/dosage_form/strength; clicking adds a row defaulting qty 1, unit_price 0, tax_percentage = medicine.gst_percentage; search card closes.</t>
        </is>
      </c>
      <c r="J40" s="17" t="inlineStr">
        <is>
          <t>GET /api/inventory/medicines/search?q=Paracetamol&amp;limit=20</t>
        </is>
      </c>
      <c r="K40" s="14" t="inlineStr"/>
      <c r="L40" s="15" t="inlineStr">
        <is>
          <t>Not Executed</t>
        </is>
      </c>
      <c r="M40" s="15" t="inlineStr"/>
      <c r="N40" s="15" t="inlineStr"/>
      <c r="O40" s="15" t="inlineStr"/>
      <c r="P40" s="14" t="inlineStr"/>
    </row>
    <row r="41" ht="45" customHeight="1">
      <c r="A41" s="16" t="inlineStr">
        <is>
          <t>INV-040</t>
        </is>
      </c>
      <c r="B41" s="17" t="inlineStr">
        <is>
          <t>Purchase Orders</t>
        </is>
      </c>
      <c r="C41" s="17" t="inlineStr">
        <is>
          <t>PO Wizard Step 2 - duplicate medicine guard</t>
        </is>
      </c>
      <c r="D41" s="18" t="inlineStr">
        <is>
          <t>Medium</t>
        </is>
      </c>
      <c r="E41" s="17" t="inlineStr">
        <is>
          <t>Negative</t>
        </is>
      </c>
      <c r="F41" s="17" t="inlineStr">
        <is>
          <t>One item already added.</t>
        </is>
      </c>
      <c r="G41" s="17" t="inlineStr">
        <is>
          <t>1. Add a medicine, then 'Add Medicine' again and select the same medicine.</t>
        </is>
      </c>
      <c r="H41" s="17" t="inlineStr">
        <is>
          <t>Same medicine twice</t>
        </is>
      </c>
      <c r="I41" s="17" t="inlineStr">
        <is>
          <t>Native alert 'This medicine is already added to the order'; no duplicate row created.</t>
        </is>
      </c>
      <c r="J41" s="17" t="inlineStr">
        <is>
          <t>N/A</t>
        </is>
      </c>
      <c r="K41" s="14" t="inlineStr"/>
      <c r="L41" s="15" t="inlineStr">
        <is>
          <t>Not Executed</t>
        </is>
      </c>
      <c r="M41" s="15" t="inlineStr"/>
      <c r="N41" s="15" t="inlineStr"/>
      <c r="O41" s="15" t="inlineStr"/>
      <c r="P41" s="14" t="inlineStr"/>
    </row>
    <row r="42" ht="60" customHeight="1">
      <c r="A42" s="16" t="inlineStr">
        <is>
          <t>INV-041</t>
        </is>
      </c>
      <c r="B42" s="17" t="inlineStr">
        <is>
          <t>Purchase Orders</t>
        </is>
      </c>
      <c r="C42" s="17" t="inlineStr">
        <is>
          <t>PO Wizard Step 2 - per-item total and grand total math</t>
        </is>
      </c>
      <c r="D42" s="21" t="inlineStr">
        <is>
          <t>High</t>
        </is>
      </c>
      <c r="E42" s="17" t="inlineStr">
        <is>
          <t>Functional</t>
        </is>
      </c>
      <c r="F42" s="17" t="inlineStr">
        <is>
          <t>At least one item added.</t>
        </is>
      </c>
      <c r="G42" s="17" t="inlineStr">
        <is>
          <t>1. Set Quantity 100, Unit Price 2.50, Discount 10%, Tax 12%.
2. Verify the row Total and the Grand Total.</t>
        </is>
      </c>
      <c r="H42" s="17" t="inlineStr">
        <is>
          <t>Qty 100, Unit ₹2.50, Disc 10%, Tax 12%</t>
        </is>
      </c>
      <c r="I42" s="17" t="inlineStr">
        <is>
          <t>Subtotal 250.00, discount 25.00, taxable 225.00, tax 27.00, line total ₹252.00; Grand Total sums all line totals (₹252.00 for one item).</t>
        </is>
      </c>
      <c r="J42" s="17" t="inlineStr">
        <is>
          <t>N/A</t>
        </is>
      </c>
      <c r="K42" s="14" t="inlineStr"/>
      <c r="L42" s="15" t="inlineStr">
        <is>
          <t>Not Executed</t>
        </is>
      </c>
      <c r="M42" s="15" t="inlineStr"/>
      <c r="N42" s="15" t="inlineStr"/>
      <c r="O42" s="15" t="inlineStr"/>
      <c r="P42" s="14" t="inlineStr"/>
    </row>
    <row r="43" ht="30" customHeight="1">
      <c r="A43" s="16" t="inlineStr">
        <is>
          <t>INV-042</t>
        </is>
      </c>
      <c r="B43" s="17" t="inlineStr">
        <is>
          <t>Purchase Orders</t>
        </is>
      </c>
      <c r="C43" s="17" t="inlineStr">
        <is>
          <t>PO Wizard Step 2 - remove item</t>
        </is>
      </c>
      <c r="D43" s="22" t="inlineStr">
        <is>
          <t>Low</t>
        </is>
      </c>
      <c r="E43" s="17" t="inlineStr">
        <is>
          <t>Functional</t>
        </is>
      </c>
      <c r="F43" s="17" t="inlineStr">
        <is>
          <t>Two items added.</t>
        </is>
      </c>
      <c r="G43" s="17" t="inlineStr">
        <is>
          <t>1. Click the trash icon on one row.</t>
        </is>
      </c>
      <c r="H43" s="17" t="inlineStr">
        <is>
          <t>N/A</t>
        </is>
      </c>
      <c r="I43" s="17" t="inlineStr">
        <is>
          <t>That row is removed; grand total recalculates; remaining item stays.</t>
        </is>
      </c>
      <c r="J43" s="17" t="inlineStr">
        <is>
          <t>N/A</t>
        </is>
      </c>
      <c r="K43" s="14" t="inlineStr"/>
      <c r="L43" s="15" t="inlineStr">
        <is>
          <t>Not Executed</t>
        </is>
      </c>
      <c r="M43" s="15" t="inlineStr"/>
      <c r="N43" s="15" t="inlineStr"/>
      <c r="O43" s="15" t="inlineStr"/>
      <c r="P43" s="14" t="inlineStr"/>
    </row>
    <row r="44" ht="135" customHeight="1">
      <c r="A44" s="16" t="inlineStr">
        <is>
          <t>INV-043</t>
        </is>
      </c>
      <c r="B44" s="17" t="inlineStr">
        <is>
          <t>Purchase Orders</t>
        </is>
      </c>
      <c r="C44" s="17" t="inlineStr">
        <is>
          <t>PO Wizard Step 2 - item quantity/price edge values</t>
        </is>
      </c>
      <c r="D44" s="18" t="inlineStr">
        <is>
          <t>Medium</t>
        </is>
      </c>
      <c r="E44" s="17" t="inlineStr">
        <is>
          <t>Edge Case</t>
        </is>
      </c>
      <c r="F44" s="17" t="inlineStr">
        <is>
          <t>One item added.</t>
        </is>
      </c>
      <c r="G44" s="17" t="inlineStr">
        <is>
          <t>1. Set Quantity to 0, then to a negative number, then a non-numeric character.
2. Set Discount to 150% and Tax to -5%.
3. Observe totals and whether Next is allowed.</t>
        </is>
      </c>
      <c r="H44" s="17" t="inlineStr">
        <is>
          <t>Qty 0/-1/abc; Discount 150; Tax -5</t>
        </is>
      </c>
      <c r="I44" s="17" t="inlineStr">
        <is>
          <t>Inputs have min/max attributes (qty min 1, discount/tax 0-100) but the UI does not hard-block typing other values; totals compute from parsed floats (0 for blanks). Wizard allows advancing (only count&gt;0 is checked). DEFECT-WATCH: a 0 or negative quantity will be rejected by the backend on submit (ordered_quantity Range min&gt;0) returning 422.</t>
        </is>
      </c>
      <c r="J44" s="17" t="inlineStr">
        <is>
          <t>POST /api/inventory/purchase-orders -&gt; 422 on submit</t>
        </is>
      </c>
      <c r="K44" s="14" t="inlineStr"/>
      <c r="L44" s="15" t="inlineStr">
        <is>
          <t>Not Executed</t>
        </is>
      </c>
      <c r="M44" s="15" t="inlineStr"/>
      <c r="N44" s="15" t="inlineStr"/>
      <c r="O44" s="15" t="inlineStr"/>
      <c r="P44" s="14" t="inlineStr"/>
    </row>
    <row r="45" ht="75" customHeight="1">
      <c r="A45" s="16" t="inlineStr">
        <is>
          <t>INV-044</t>
        </is>
      </c>
      <c r="B45" s="17" t="inlineStr">
        <is>
          <t>Purchase Orders</t>
        </is>
      </c>
      <c r="C45" s="17" t="inlineStr">
        <is>
          <t>PO Wizard Step 3 review summary accuracy</t>
        </is>
      </c>
      <c r="D45" s="18" t="inlineStr">
        <is>
          <t>Medium</t>
        </is>
      </c>
      <c r="E45" s="17" t="inlineStr">
        <is>
          <t>Functional</t>
        </is>
      </c>
      <c r="F45" s="17" t="inlineStr">
        <is>
          <t>Steps 1-2 completed with valid data.</t>
        </is>
      </c>
      <c r="G45" s="17" t="inlineStr">
        <is>
          <t>1. Advance to Step 3 (Review &amp; Submit).
2. Verify Order Summary (supplier, expected delivery, location, total items) and the Items table and Financial Summary (subtotal/discount/tax/total).</t>
        </is>
      </c>
      <c r="H45" s="17" t="inlineStr">
        <is>
          <t>N/A</t>
        </is>
      </c>
      <c r="I45" s="17" t="inlineStr">
        <is>
          <t>All summary values match Step 1/2 inputs; financial totals equal the computed subtotal/discount/tax/total.</t>
        </is>
      </c>
      <c r="J45" s="17" t="inlineStr">
        <is>
          <t>N/A</t>
        </is>
      </c>
      <c r="K45" s="14" t="inlineStr"/>
      <c r="L45" s="15" t="inlineStr">
        <is>
          <t>Not Executed</t>
        </is>
      </c>
      <c r="M45" s="15" t="inlineStr"/>
      <c r="N45" s="15" t="inlineStr"/>
      <c r="O45" s="15" t="inlineStr"/>
      <c r="P45" s="14" t="inlineStr"/>
    </row>
    <row r="46" ht="120" customHeight="1">
      <c r="A46" s="16" t="inlineStr">
        <is>
          <t>INV-045</t>
        </is>
      </c>
      <c r="B46" s="17" t="inlineStr">
        <is>
          <t>Purchase Orders</t>
        </is>
      </c>
      <c r="C46" s="17" t="inlineStr">
        <is>
          <t>PO Wizard submit creates PO and redirects to detail</t>
        </is>
      </c>
      <c r="D46" s="21" t="inlineStr">
        <is>
          <t>High</t>
        </is>
      </c>
      <c r="E46" s="17" t="inlineStr">
        <is>
          <t>Functional</t>
        </is>
      </c>
      <c r="F46" s="17" t="inlineStr">
        <is>
          <t>Steps 1-2 valid; logged in as admin.</t>
        </is>
      </c>
      <c r="G46" s="17" t="inlineStr">
        <is>
          <t>1. On Step 3 click 'Create Purchase Order'.
2. Watch the request payload and the redirect.</t>
        </is>
      </c>
      <c r="H46" s="17" t="inlineStr">
        <is>
          <t>Valid PO with 1+ items</t>
        </is>
      </c>
      <c r="I46" s="17" t="inlineStr">
        <is>
          <t>POST sends supplier_id, po_date (today), expected_delivery_date (yyyy-MM-dd), delivery_location_id, notes, computed totals, status 'draft', and items[] each {medicine_id, ordered_quantity, unit_price, discount_percentage, tax_percentage, total_amount}. Returns 201; app navigates to /inventory/purchase-orders/{new id}.</t>
        </is>
      </c>
      <c r="J46" s="17" t="inlineStr">
        <is>
          <t>POST /api/inventory/purchase-orders -&gt; 201</t>
        </is>
      </c>
      <c r="K46" s="14" t="inlineStr"/>
      <c r="L46" s="15" t="inlineStr">
        <is>
          <t>Not Executed</t>
        </is>
      </c>
      <c r="M46" s="15" t="inlineStr"/>
      <c r="N46" s="15" t="inlineStr"/>
      <c r="O46" s="15" t="inlineStr"/>
      <c r="P46" s="14" t="inlineStr"/>
    </row>
    <row r="47" ht="45" customHeight="1">
      <c r="A47" s="16" t="inlineStr">
        <is>
          <t>INV-046</t>
        </is>
      </c>
      <c r="B47" s="17" t="inlineStr">
        <is>
          <t>Purchase Orders</t>
        </is>
      </c>
      <c r="C47" s="17" t="inlineStr">
        <is>
          <t>PO Wizard submit error surfaces server message</t>
        </is>
      </c>
      <c r="D47" s="18" t="inlineStr">
        <is>
          <t>Medium</t>
        </is>
      </c>
      <c r="E47" s="17" t="inlineStr">
        <is>
          <t>Negative</t>
        </is>
      </c>
      <c r="F47" s="17" t="inlineStr">
        <is>
          <t>Force a failure (e.g. invalid supplier_id, or a 0-qty item per INV-043).</t>
        </is>
      </c>
      <c r="G47" s="17" t="inlineStr">
        <is>
          <t>1. Submit a PO that the backend rejects.
2. Observe the error region on Step 3.</t>
        </is>
      </c>
      <c r="H47" s="17" t="inlineStr">
        <is>
          <t>Invalid/zero-qty payload</t>
        </is>
      </c>
      <c r="I47" s="17" t="inlineStr">
        <is>
          <t>Red box at bottom of Step 3 with the server message (or 'Failed to create purchase order'); no redirect; user stays on wizard.</t>
        </is>
      </c>
      <c r="J47" s="17" t="inlineStr">
        <is>
          <t>POST /api/inventory/purchase-orders -&gt; 400/422</t>
        </is>
      </c>
      <c r="K47" s="14" t="inlineStr"/>
      <c r="L47" s="15" t="inlineStr">
        <is>
          <t>Not Executed</t>
        </is>
      </c>
      <c r="M47" s="15" t="inlineStr"/>
      <c r="N47" s="15" t="inlineStr"/>
      <c r="O47" s="15" t="inlineStr"/>
      <c r="P47" s="14" t="inlineStr"/>
    </row>
    <row r="48" ht="75" customHeight="1">
      <c r="A48" s="16" t="inlineStr">
        <is>
          <t>INV-047</t>
        </is>
      </c>
      <c r="B48" s="17" t="inlineStr">
        <is>
          <t>Purchase Orders</t>
        </is>
      </c>
      <c r="C48" s="17" t="inlineStr">
        <is>
          <t>PO Wizard Back/Cancel navigation and step indicator</t>
        </is>
      </c>
      <c r="D48" s="22" t="inlineStr">
        <is>
          <t>Low</t>
        </is>
      </c>
      <c r="E48" s="17" t="inlineStr">
        <is>
          <t>UI/UX</t>
        </is>
      </c>
      <c r="F48" s="17" t="inlineStr">
        <is>
          <t>On any wizard step.</t>
        </is>
      </c>
      <c r="G48" s="17" t="inlineStr">
        <is>
          <t>1. Move forward then click Back; verify data persists.
2. Click Cancel (or 'Back to Purchase Orders').
3. Observe the step progress indicator (active/completed states).</t>
        </is>
      </c>
      <c r="H48" s="17" t="inlineStr">
        <is>
          <t>N/A</t>
        </is>
      </c>
      <c r="I48" s="17" t="inlineStr">
        <is>
          <t>Back returns to the prior step with entered data intact; Cancel routes to /inventory/purchase-orders; completed steps show a green check, active step highlighted.</t>
        </is>
      </c>
      <c r="J48" s="17" t="inlineStr">
        <is>
          <t>N/A</t>
        </is>
      </c>
      <c r="K48" s="14" t="inlineStr"/>
      <c r="L48" s="15" t="inlineStr">
        <is>
          <t>Not Executed</t>
        </is>
      </c>
      <c r="M48" s="15" t="inlineStr"/>
      <c r="N48" s="15" t="inlineStr"/>
      <c r="O48" s="15" t="inlineStr"/>
      <c r="P48" s="14" t="inlineStr"/>
    </row>
    <row r="49" ht="90" customHeight="1">
      <c r="A49" s="16" t="inlineStr">
        <is>
          <t>INV-048</t>
        </is>
      </c>
      <c r="B49" s="17" t="inlineStr">
        <is>
          <t>Purchase Orders</t>
        </is>
      </c>
      <c r="C49" s="17" t="inlineStr">
        <is>
          <t>PO Detail view renders all sections</t>
        </is>
      </c>
      <c r="D49" s="21" t="inlineStr">
        <is>
          <t>High</t>
        </is>
      </c>
      <c r="E49" s="17" t="inlineStr">
        <is>
          <t>Functional</t>
        </is>
      </c>
      <c r="F49" s="17" t="inlineStr">
        <is>
          <t>A valid PO id; logged in as admin.</t>
        </is>
      </c>
      <c r="G49" s="17" t="inlineStr">
        <is>
          <t>1. Open /inventory/purchase-orders/{id} (or click the eye icon from the list).
2. Verify header (PO #, status badge, created date), Supplier/Delivery/Financial cards, Items table (Ordered/Received/Pending/Unit Price/Total), and Notes if present.</t>
        </is>
      </c>
      <c r="H49" s="17" t="inlineStr">
        <is>
          <t>Existing PO id</t>
        </is>
      </c>
      <c r="I49" s="17" t="inlineStr">
        <is>
          <t>Detail loads via GET; all sections populated; skeleton shows while loading; Items table shows ordered/received/pending quantities.</t>
        </is>
      </c>
      <c r="J49" s="17" t="inlineStr">
        <is>
          <t>GET /api/inventory/purchase-orders/{id}</t>
        </is>
      </c>
      <c r="K49" s="14" t="inlineStr"/>
      <c r="L49" s="15" t="inlineStr">
        <is>
          <t>Not Executed</t>
        </is>
      </c>
      <c r="M49" s="15" t="inlineStr"/>
      <c r="N49" s="15" t="inlineStr"/>
      <c r="O49" s="15" t="inlineStr"/>
      <c r="P49" s="14" t="inlineStr"/>
    </row>
    <row r="50" ht="120" customHeight="1">
      <c r="A50" s="16" t="inlineStr">
        <is>
          <t>INV-049</t>
        </is>
      </c>
      <c r="B50" s="17" t="inlineStr">
        <is>
          <t>Purchase Orders</t>
        </is>
      </c>
      <c r="C50" s="17" t="inlineStr">
        <is>
          <t>PO Detail action buttons reflect status</t>
        </is>
      </c>
      <c r="D50" s="21" t="inlineStr">
        <is>
          <t>High</t>
        </is>
      </c>
      <c r="E50" s="17" t="inlineStr">
        <is>
          <t>Functional</t>
        </is>
      </c>
      <c r="F50" s="17" t="inlineStr">
        <is>
          <t>POs in draft, pending_approval, approved/sent/partial_received, received and cancelled.</t>
        </is>
      </c>
      <c r="G50" s="17" t="inlineStr">
        <is>
          <t>1. Open a draft PO -&gt; expect 'Submit for Approval' button.
2. Open a pending_approval PO -&gt; expect 'Approve PO'.
3. Open an approved/sent/partial_received PO -&gt; expect 'Receive Goods'.
4. Open a received and a cancelled PO -&gt; expect only Print (no action button).</t>
        </is>
      </c>
      <c r="H50" s="17" t="inlineStr">
        <is>
          <t>N/A</t>
        </is>
      </c>
      <c r="I50" s="17" t="inlineStr">
        <is>
          <t>Action buttons are status-driven exactly as above; Print button always present.</t>
        </is>
      </c>
      <c r="J50" s="17" t="inlineStr">
        <is>
          <t>N/A</t>
        </is>
      </c>
      <c r="K50" s="14" t="inlineStr"/>
      <c r="L50" s="15" t="inlineStr">
        <is>
          <t>Not Executed</t>
        </is>
      </c>
      <c r="M50" s="15" t="inlineStr"/>
      <c r="N50" s="15" t="inlineStr"/>
      <c r="O50" s="15" t="inlineStr"/>
      <c r="P50" s="14" t="inlineStr"/>
    </row>
    <row r="51" ht="105" customHeight="1">
      <c r="A51" s="16" t="inlineStr">
        <is>
          <t>INV-050</t>
        </is>
      </c>
      <c r="B51" s="17" t="inlineStr">
        <is>
          <t>Purchase Orders</t>
        </is>
      </c>
      <c r="C51" s="17" t="inlineStr">
        <is>
          <t>PO Detail approve flow</t>
        </is>
      </c>
      <c r="D51" s="21" t="inlineStr">
        <is>
          <t>High</t>
        </is>
      </c>
      <c r="E51" s="17" t="inlineStr">
        <is>
          <t>Functional</t>
        </is>
      </c>
      <c r="F51" s="17" t="inlineStr">
        <is>
          <t>A pending_approval PO; logged in as admin (approve permission).</t>
        </is>
      </c>
      <c r="G51" s="17" t="inlineStr">
        <is>
          <t>1. On a pending_approval PO click 'Approve PO'.
2. In the dialog optionally add approval notes; click 'Approve PO'.
3. Observe the status.</t>
        </is>
      </c>
      <c r="H51" s="17" t="inlineStr">
        <is>
          <t>Approval notes: 'Budget approved'</t>
        </is>
      </c>
      <c r="I51" s="17" t="inlineStr">
        <is>
          <t>POST .../approve returns 200; dialog closes; PO re-fetched and status badge becomes Approved. NOTE: approval_notes entered in the dialog are not sent in the body (approvePurchaseOrder takes no payload) - log as enhancement if notes are expected to persist.</t>
        </is>
      </c>
      <c r="J51" s="17" t="inlineStr">
        <is>
          <t>POST /api/inventory/purchase-orders/{id}/approve</t>
        </is>
      </c>
      <c r="K51" s="14" t="inlineStr"/>
      <c r="L51" s="15" t="inlineStr">
        <is>
          <t>Not Executed</t>
        </is>
      </c>
      <c r="M51" s="15" t="inlineStr"/>
      <c r="N51" s="15" t="inlineStr"/>
      <c r="O51" s="15" t="inlineStr"/>
      <c r="P51" s="14" t="inlineStr"/>
    </row>
    <row r="52" ht="105" customHeight="1">
      <c r="A52" s="16" t="inlineStr">
        <is>
          <t>INV-051</t>
        </is>
      </c>
      <c r="B52" s="17" t="inlineStr">
        <is>
          <t>Purchase Orders</t>
        </is>
      </c>
      <c r="C52" s="17" t="inlineStr">
        <is>
          <t>PO Detail submit-for-approval (draft -&gt; pending)</t>
        </is>
      </c>
      <c r="D52" s="18" t="inlineStr">
        <is>
          <t>Medium</t>
        </is>
      </c>
      <c r="E52" s="17" t="inlineStr">
        <is>
          <t>Functional</t>
        </is>
      </c>
      <c r="F52" s="17" t="inlineStr">
        <is>
          <t>A draft PO; logged in as admin.</t>
        </is>
      </c>
      <c r="G52" s="17" t="inlineStr">
        <is>
          <t>1. Open a draft PO; click 'Submit for Approval'.
2. Confirm in the dialog.</t>
        </is>
      </c>
      <c r="H52" s="17" t="inlineStr">
        <is>
          <t>N/A</t>
        </is>
      </c>
      <c r="I52" s="17" t="inlineStr">
        <is>
          <t>DEFECT-WATCH: both draft and pending states open the same approval dialog whose confirm calls approvePurchaseOrder (not submitPurchaseOrder). Verify the resulting status transition and whether /submit is ever invoked; log a defect if a draft PO is approved directly, skipping the submit step.</t>
        </is>
      </c>
      <c r="J52" s="17" t="inlineStr">
        <is>
          <t>POST /api/inventory/purchase-orders/{id}/approve (expected: /submit)</t>
        </is>
      </c>
      <c r="K52" s="14" t="inlineStr"/>
      <c r="L52" s="15" t="inlineStr">
        <is>
          <t>Not Executed</t>
        </is>
      </c>
      <c r="M52" s="15" t="inlineStr"/>
      <c r="N52" s="15" t="inlineStr"/>
      <c r="O52" s="15" t="inlineStr"/>
      <c r="P52" s="14" t="inlineStr"/>
    </row>
    <row r="53" ht="150" customHeight="1">
      <c r="A53" s="16" t="inlineStr">
        <is>
          <t>INV-052</t>
        </is>
      </c>
      <c r="B53" s="17" t="inlineStr">
        <is>
          <t>Purchase Orders</t>
        </is>
      </c>
      <c r="C53" s="17" t="inlineStr">
        <is>
          <t>PO Detail Receive Goods - full receipt with batch details</t>
        </is>
      </c>
      <c r="D53" s="21" t="inlineStr">
        <is>
          <t>High</t>
        </is>
      </c>
      <c r="E53" s="17" t="inlineStr">
        <is>
          <t>Functional</t>
        </is>
      </c>
      <c r="F53" s="17" t="inlineStr">
        <is>
          <t>An approved PO with 1+ items; logged in as admin/data_entry (write).</t>
        </is>
      </c>
      <c r="G53" s="17" t="inlineStr">
        <is>
          <t>1. Open the PO; click 'Receive Goods'.
2. For each item enter Received Quantity, Batch Number, Manufacture Date, Expiry Date (expiry after mfg).
3. Click 'Confirm Receipt'.</t>
        </is>
      </c>
      <c r="H53" s="17" t="inlineStr">
        <is>
          <t>Batch BATCH-PCM-2401, Mfg 2026-01-10, Expiry 2028-01-10, Received = ordered qty</t>
        </is>
      </c>
      <c r="I53" s="17" t="inlineStr">
        <is>
          <t>On success the PO status moves to received/partial_received and stock increases. DEFECT-WATCH: the dialog posts {items:[{item_id, received_quantity, batch_number, manufacture_date, expiry_date}]} but the backend GoodsReceiveSchema expects {received_items:[...]} with mrp optional. Verify whether receipt actually succeeds; a 422 'received_items required' indicates a payload-key mismatch defect.</t>
        </is>
      </c>
      <c r="J53" s="17" t="inlineStr">
        <is>
          <t>POST /api/inventory/purchase-orders/{id}/receive</t>
        </is>
      </c>
      <c r="K53" s="14" t="inlineStr"/>
      <c r="L53" s="15" t="inlineStr">
        <is>
          <t>Not Executed</t>
        </is>
      </c>
      <c r="M53" s="15" t="inlineStr"/>
      <c r="N53" s="15" t="inlineStr"/>
      <c r="O53" s="15" t="inlineStr"/>
      <c r="P53" s="14" t="inlineStr"/>
    </row>
    <row r="54" ht="90" customHeight="1">
      <c r="A54" s="16" t="inlineStr">
        <is>
          <t>INV-053</t>
        </is>
      </c>
      <c r="B54" s="17" t="inlineStr">
        <is>
          <t>Purchase Orders</t>
        </is>
      </c>
      <c r="C54" s="17" t="inlineStr">
        <is>
          <t>PO Receive Goods - missing batch detail blocked client-side</t>
        </is>
      </c>
      <c r="D54" s="18" t="inlineStr">
        <is>
          <t>Medium</t>
        </is>
      </c>
      <c r="E54" s="17" t="inlineStr">
        <is>
          <t>Validation</t>
        </is>
      </c>
      <c r="F54" s="17" t="inlineStr">
        <is>
          <t>Receive Goods dialog open.</t>
        </is>
      </c>
      <c r="G54" s="17" t="inlineStr">
        <is>
          <t>1. Leave Batch Number (or a date) blank for one item.
2. Click 'Confirm Receipt'.</t>
        </is>
      </c>
      <c r="H54" s="17" t="inlineStr">
        <is>
          <t>Batch Number = blank</t>
        </is>
      </c>
      <c r="I54" s="17" t="inlineStr">
        <is>
          <t>Native alert 'Please fill in all batch details for all items'; no API call sent. NOTE: the early return does not reset actionLoading, so the Confirm button may stay in 'Receiving...' state - log as a minor defect.</t>
        </is>
      </c>
      <c r="J54" s="17" t="inlineStr">
        <is>
          <t>N/A</t>
        </is>
      </c>
      <c r="K54" s="14" t="inlineStr"/>
      <c r="L54" s="15" t="inlineStr">
        <is>
          <t>Not Executed</t>
        </is>
      </c>
      <c r="M54" s="15" t="inlineStr"/>
      <c r="N54" s="15" t="inlineStr"/>
      <c r="O54" s="15" t="inlineStr"/>
      <c r="P54" s="14" t="inlineStr"/>
    </row>
    <row r="55" ht="75" customHeight="1">
      <c r="A55" s="16" t="inlineStr">
        <is>
          <t>INV-054</t>
        </is>
      </c>
      <c r="B55" s="17" t="inlineStr">
        <is>
          <t>Purchase Orders</t>
        </is>
      </c>
      <c r="C55" s="17" t="inlineStr">
        <is>
          <t>PO Receive Goods - expiry before manufacture rejected</t>
        </is>
      </c>
      <c r="D55" s="18" t="inlineStr">
        <is>
          <t>Medium</t>
        </is>
      </c>
      <c r="E55" s="17" t="inlineStr">
        <is>
          <t>Negative</t>
        </is>
      </c>
      <c r="F55" s="17" t="inlineStr">
        <is>
          <t>Receive Goods dialog open.</t>
        </is>
      </c>
      <c r="G55" s="17" t="inlineStr">
        <is>
          <t>1. Enter Manufacture Date 2027-01-01 and Expiry Date 2026-01-01 (expiry &lt; mfg).
2. Note the date input min on expiry is set to manufacture_date.
3. Attempt to confirm.</t>
        </is>
      </c>
      <c r="H55" s="17" t="inlineStr">
        <is>
          <t>Mfg 2027-01-01, Expiry 2026-01-01</t>
        </is>
      </c>
      <c r="I55" s="17" t="inlineStr">
        <is>
          <t>The expiry field's min attribute discourages an earlier date; if forced, backend GoodsReceiveItemSchema.validate_dates returns 422 'Expiry date must be after manufacture date'.</t>
        </is>
      </c>
      <c r="J55" s="17" t="inlineStr">
        <is>
          <t>POST /api/inventory/purchase-orders/{id}/receive -&gt; 422</t>
        </is>
      </c>
      <c r="K55" s="14" t="inlineStr"/>
      <c r="L55" s="15" t="inlineStr">
        <is>
          <t>Not Executed</t>
        </is>
      </c>
      <c r="M55" s="15" t="inlineStr"/>
      <c r="N55" s="15" t="inlineStr"/>
      <c r="O55" s="15" t="inlineStr"/>
      <c r="P55" s="14" t="inlineStr"/>
    </row>
    <row r="56" ht="60" customHeight="1">
      <c r="A56" s="16" t="inlineStr">
        <is>
          <t>INV-055</t>
        </is>
      </c>
      <c r="B56" s="17" t="inlineStr">
        <is>
          <t>Purchase Orders</t>
        </is>
      </c>
      <c r="C56" s="17" t="inlineStr">
        <is>
          <t>PO Receive Goods - partial receipt updates pending</t>
        </is>
      </c>
      <c r="D56" s="21" t="inlineStr">
        <is>
          <t>High</t>
        </is>
      </c>
      <c r="E56" s="17" t="inlineStr">
        <is>
          <t>Data Integrity</t>
        </is>
      </c>
      <c r="F56" s="17" t="inlineStr">
        <is>
          <t>An approved PO with an item ordered_quantity of e.g. 100.</t>
        </is>
      </c>
      <c r="G56" s="17" t="inlineStr">
        <is>
          <t>1. Open Receive Goods; set Received Quantity to 60 (less than ordered).
2. Enter valid batch details; confirm.
3. Reopen the PO detail.</t>
        </is>
      </c>
      <c r="H56" s="17" t="inlineStr">
        <is>
          <t>Received 60 of 100</t>
        </is>
      </c>
      <c r="I56" s="17" t="inlineStr">
        <is>
          <t>If receipt succeeds, status becomes 'partial_received', the item shows Received 60 / Pending 40, and a 'Receive Goods' button remains for the balance.</t>
        </is>
      </c>
      <c r="J56" s="17" t="inlineStr">
        <is>
          <t>POST /api/inventory/purchase-orders/{id}/receive</t>
        </is>
      </c>
      <c r="K56" s="14" t="inlineStr"/>
      <c r="L56" s="15" t="inlineStr">
        <is>
          <t>Not Executed</t>
        </is>
      </c>
      <c r="M56" s="15" t="inlineStr"/>
      <c r="N56" s="15" t="inlineStr"/>
      <c r="O56" s="15" t="inlineStr"/>
      <c r="P56" s="14" t="inlineStr"/>
    </row>
    <row r="57" ht="45" customHeight="1">
      <c r="A57" s="16" t="inlineStr">
        <is>
          <t>INV-056</t>
        </is>
      </c>
      <c r="B57" s="17" t="inlineStr">
        <is>
          <t>Purchase Orders</t>
        </is>
      </c>
      <c r="C57" s="17" t="inlineStr">
        <is>
          <t>PO Detail not-found id</t>
        </is>
      </c>
      <c r="D57" s="18" t="inlineStr">
        <is>
          <t>Medium</t>
        </is>
      </c>
      <c r="E57" s="17" t="inlineStr">
        <is>
          <t>Negative</t>
        </is>
      </c>
      <c r="F57" s="17" t="inlineStr">
        <is>
          <t>Logged in as admin.</t>
        </is>
      </c>
      <c r="G57" s="17" t="inlineStr">
        <is>
          <t>1. Navigate to /inventory/purchase-orders/00000000-0000-0000-0000-000000000000.</t>
        </is>
      </c>
      <c r="H57" s="17" t="inlineStr">
        <is>
          <t>Non-existent PO id</t>
        </is>
      </c>
      <c r="I57" s="17" t="inlineStr">
        <is>
          <t>GET returns 404; the page shows 'Purchase order not found' (po stays null after loading).</t>
        </is>
      </c>
      <c r="J57" s="17" t="inlineStr">
        <is>
          <t>GET /api/inventory/purchase-orders/{bad-id} -&gt; 404</t>
        </is>
      </c>
      <c r="K57" s="14" t="inlineStr"/>
      <c r="L57" s="15" t="inlineStr">
        <is>
          <t>Not Executed</t>
        </is>
      </c>
      <c r="M57" s="15" t="inlineStr"/>
      <c r="N57" s="15" t="inlineStr"/>
      <c r="O57" s="15" t="inlineStr"/>
      <c r="P57" s="14" t="inlineStr"/>
    </row>
    <row r="58" ht="60" customHeight="1">
      <c r="A58" s="16" t="inlineStr">
        <is>
          <t>INV-057</t>
        </is>
      </c>
      <c r="B58" s="17" t="inlineStr">
        <is>
          <t>Purchase Orders</t>
        </is>
      </c>
      <c r="C58" s="17" t="inlineStr">
        <is>
          <t>data_entry role cannot approve a PO (403)</t>
        </is>
      </c>
      <c r="D58" s="21" t="inlineStr">
        <is>
          <t>High</t>
        </is>
      </c>
      <c r="E58" s="17" t="inlineStr">
        <is>
          <t>Permission</t>
        </is>
      </c>
      <c r="F58" s="17" t="inlineStr">
        <is>
          <t>Logged in as data_entry (read+write+dispense, no approve).</t>
        </is>
      </c>
      <c r="G58" s="17" t="inlineStr">
        <is>
          <t>1. Open a pending_approval PO; click 'Approve PO' and confirm.
2. Watch the API response.</t>
        </is>
      </c>
      <c r="H58" s="17" t="inlineStr">
        <is>
          <t>N/A</t>
        </is>
      </c>
      <c r="I58" s="17" t="inlineStr">
        <is>
          <t>POST .../approve returns 403 'Insufficient permissions. Required: approve'; an alert 'Failed to approve purchase order' shows; status unchanged.</t>
        </is>
      </c>
      <c r="J58" s="17" t="inlineStr">
        <is>
          <t>POST /api/inventory/purchase-orders/{id}/approve -&gt; 403</t>
        </is>
      </c>
      <c r="K58" s="14" t="inlineStr"/>
      <c r="L58" s="15" t="inlineStr">
        <is>
          <t>Not Executed</t>
        </is>
      </c>
      <c r="M58" s="15" t="inlineStr"/>
      <c r="N58" s="15" t="inlineStr"/>
      <c r="O58" s="15" t="inlineStr"/>
      <c r="P58" s="14" t="inlineStr"/>
    </row>
    <row r="59" ht="75" customHeight="1">
      <c r="A59" s="11" t="inlineStr">
        <is>
          <t>INV-058</t>
        </is>
      </c>
      <c r="B59" s="12" t="inlineStr">
        <is>
          <t>Dispensing</t>
        </is>
      </c>
      <c r="C59" s="12" t="inlineStr">
        <is>
          <t>Dispensing records list default 'Today' filter and columns</t>
        </is>
      </c>
      <c r="D59" s="13" t="inlineStr">
        <is>
          <t>High</t>
        </is>
      </c>
      <c r="E59" s="12" t="inlineStr">
        <is>
          <t>Functional</t>
        </is>
      </c>
      <c r="F59" s="12" t="inlineStr">
        <is>
          <t>At least one dispensing record today; logged in as admin.</t>
        </is>
      </c>
      <c r="G59" s="12" t="inlineStr">
        <is>
          <t>1. Navigate to /inventory/dispense.
2. Confirm default date filter is 'Today' and columns: Date &amp; Time, Patient, Medicines, Type, Dispensed By, Actions.</t>
        </is>
      </c>
      <c r="H59" s="12" t="inlineStr">
        <is>
          <t>N/A</t>
        </is>
      </c>
      <c r="I59" s="12" t="inlineStr">
        <is>
          <t>List loads with start_date and end_date both = today; rows show patient name/ABHA, item count badge + first 2 medicine names, type badge, dispenser; row click opens detail.</t>
        </is>
      </c>
      <c r="J59" s="12" t="inlineStr">
        <is>
          <t>GET /api/inventory/dispensing?page=1&amp;per_page=20&amp;start_date={today}&amp;end_date={today}</t>
        </is>
      </c>
      <c r="K59" s="14" t="inlineStr"/>
      <c r="L59" s="15" t="inlineStr">
        <is>
          <t>Not Executed</t>
        </is>
      </c>
      <c r="M59" s="15" t="inlineStr"/>
      <c r="N59" s="15" t="inlineStr"/>
      <c r="O59" s="15" t="inlineStr"/>
      <c r="P59" s="14" t="inlineStr"/>
    </row>
    <row r="60" ht="75" customHeight="1">
      <c r="A60" s="11" t="inlineStr">
        <is>
          <t>INV-059</t>
        </is>
      </c>
      <c r="B60" s="12" t="inlineStr">
        <is>
          <t>Dispensing</t>
        </is>
      </c>
      <c r="C60" s="12" t="inlineStr">
        <is>
          <t>Dispensing list type and date-range filters</t>
        </is>
      </c>
      <c r="D60" s="19" t="inlineStr">
        <is>
          <t>Medium</t>
        </is>
      </c>
      <c r="E60" s="12" t="inlineStr">
        <is>
          <t>Functional</t>
        </is>
      </c>
      <c r="F60" s="12" t="inlineStr">
        <is>
          <t>Records of various types and dates exist.</t>
        </is>
      </c>
      <c r="G60" s="12" t="inlineStr">
        <is>
          <t>1. Change Type filter to Prescription, Direct, Emergency, OTC.
2. Change Date Range to Last 7 Days, Last Month, All Time.
3. Watch the requests.</t>
        </is>
      </c>
      <c r="H60" s="12" t="inlineStr">
        <is>
          <t>Type: prescription; Date: week/month/all</t>
        </is>
      </c>
      <c r="I60" s="12" t="inlineStr">
        <is>
          <t>Type sends dispense_type=&lt;value&gt;; date ranges send computed start_date/end_date (All Time sends none). 'All Types' clears the type filter.</t>
        </is>
      </c>
      <c r="J60" s="12" t="inlineStr">
        <is>
          <t>GET /api/inventory/dispensing?dispense_type=prescription&amp;start_date=...&amp;end_date=...</t>
        </is>
      </c>
      <c r="K60" s="14" t="inlineStr"/>
      <c r="L60" s="15" t="inlineStr">
        <is>
          <t>Not Executed</t>
        </is>
      </c>
      <c r="M60" s="15" t="inlineStr"/>
      <c r="N60" s="15" t="inlineStr"/>
      <c r="O60" s="15" t="inlineStr"/>
      <c r="P60" s="14" t="inlineStr"/>
    </row>
    <row r="61" ht="60" customHeight="1">
      <c r="A61" s="11" t="inlineStr">
        <is>
          <t>INV-060</t>
        </is>
      </c>
      <c r="B61" s="12" t="inlineStr">
        <is>
          <t>Dispensing</t>
        </is>
      </c>
      <c r="C61" s="12" t="inlineStr">
        <is>
          <t>Dispensing list client-side search by patient/ABHA/dispenser</t>
        </is>
      </c>
      <c r="D61" s="19" t="inlineStr">
        <is>
          <t>Medium</t>
        </is>
      </c>
      <c r="E61" s="12" t="inlineStr">
        <is>
          <t>Edge Case</t>
        </is>
      </c>
      <c r="F61" s="12" t="inlineStr">
        <is>
          <t>Multiple records loaded.</t>
        </is>
      </c>
      <c r="G61" s="12" t="inlineStr">
        <is>
          <t>1. Type a patient name, then an ABHA address, then a dispenser name in the search box.</t>
        </is>
      </c>
      <c r="H61" s="12" t="inlineStr">
        <is>
          <t>Search: patient name / ABHA / dispenser</t>
        </is>
      </c>
      <c r="I61" s="12" t="inlineStr">
        <is>
          <t>Filtering is client-side over the current page only (patient.full_name, patient.abha_address, dispensed_by). DEFECT-WATCH: records on other pages won't match.</t>
        </is>
      </c>
      <c r="J61" s="12" t="inlineStr">
        <is>
          <t>N/A (client-side filter)</t>
        </is>
      </c>
      <c r="K61" s="14" t="inlineStr"/>
      <c r="L61" s="15" t="inlineStr">
        <is>
          <t>Not Executed</t>
        </is>
      </c>
      <c r="M61" s="15" t="inlineStr"/>
      <c r="N61" s="15" t="inlineStr"/>
      <c r="O61" s="15" t="inlineStr"/>
      <c r="P61" s="14" t="inlineStr"/>
    </row>
    <row r="62" ht="45" customHeight="1">
      <c r="A62" s="11" t="inlineStr">
        <is>
          <t>INV-061</t>
        </is>
      </c>
      <c r="B62" s="12" t="inlineStr">
        <is>
          <t>Dispensing</t>
        </is>
      </c>
      <c r="C62" s="12" t="inlineStr">
        <is>
          <t>Dispensing list empty state</t>
        </is>
      </c>
      <c r="D62" s="20" t="inlineStr">
        <is>
          <t>Low</t>
        </is>
      </c>
      <c r="E62" s="12" t="inlineStr">
        <is>
          <t>UI/UX</t>
        </is>
      </c>
      <c r="F62" s="12" t="inlineStr">
        <is>
          <t>A filter combination with no records (e.g. Today with no dispensing).</t>
        </is>
      </c>
      <c r="G62" s="12" t="inlineStr">
        <is>
          <t>1. Set Date Range = Today on a day with no dispensing.</t>
        </is>
      </c>
      <c r="H62" s="12" t="inlineStr">
        <is>
          <t>N/A</t>
        </is>
      </c>
      <c r="I62" s="12" t="inlineStr">
        <is>
          <t>Centered FileText icon, 'No dispensing records found', and a 'Dispense Medicines' button to /inventory/dispense/new.</t>
        </is>
      </c>
      <c r="J62" s="12" t="inlineStr">
        <is>
          <t>GET /api/inventory/dispensing</t>
        </is>
      </c>
      <c r="K62" s="14" t="inlineStr"/>
      <c r="L62" s="15" t="inlineStr">
        <is>
          <t>Not Executed</t>
        </is>
      </c>
      <c r="M62" s="15" t="inlineStr"/>
      <c r="N62" s="15" t="inlineStr"/>
      <c r="O62" s="15" t="inlineStr"/>
      <c r="P62" s="14" t="inlineStr"/>
    </row>
    <row r="63" ht="45" customHeight="1">
      <c r="A63" s="11" t="inlineStr">
        <is>
          <t>INV-062</t>
        </is>
      </c>
      <c r="B63" s="12" t="inlineStr">
        <is>
          <t>Dispensing</t>
        </is>
      </c>
      <c r="C63" s="12" t="inlineStr">
        <is>
          <t>Dispensing Wizard Step 1 - patient required</t>
        </is>
      </c>
      <c r="D63" s="13" t="inlineStr">
        <is>
          <t>High</t>
        </is>
      </c>
      <c r="E63" s="12" t="inlineStr">
        <is>
          <t>Validation</t>
        </is>
      </c>
      <c r="F63" s="12" t="inlineStr">
        <is>
          <t>Logged in as admin.</t>
        </is>
      </c>
      <c r="G63" s="12" t="inlineStr">
        <is>
          <t>1. Open /inventory/dispense/new.
2. On Step 1 click Next without selecting a patient.</t>
        </is>
      </c>
      <c r="H63" s="12" t="inlineStr">
        <is>
          <t>N/A</t>
        </is>
      </c>
      <c r="I63" s="12" t="inlineStr">
        <is>
          <t>Error 'Patient is required'; the search input border turns red; cannot advance.</t>
        </is>
      </c>
      <c r="J63" s="12" t="inlineStr">
        <is>
          <t>N/A</t>
        </is>
      </c>
      <c r="K63" s="14" t="inlineStr"/>
      <c r="L63" s="15" t="inlineStr">
        <is>
          <t>Not Executed</t>
        </is>
      </c>
      <c r="M63" s="15" t="inlineStr"/>
      <c r="N63" s="15" t="inlineStr"/>
      <c r="O63" s="15" t="inlineStr"/>
      <c r="P63" s="14" t="inlineStr"/>
    </row>
    <row r="64" ht="90" customHeight="1">
      <c r="A64" s="11" t="inlineStr">
        <is>
          <t>INV-063</t>
        </is>
      </c>
      <c r="B64" s="12" t="inlineStr">
        <is>
          <t>Dispensing</t>
        </is>
      </c>
      <c r="C64" s="12" t="inlineStr">
        <is>
          <t>Dispensing Wizard Step 1 - PatientSelector recent + search</t>
        </is>
      </c>
      <c r="D64" s="13" t="inlineStr">
        <is>
          <t>High</t>
        </is>
      </c>
      <c r="E64" s="12" t="inlineStr">
        <is>
          <t>Functional</t>
        </is>
      </c>
      <c r="F64" s="12" t="inlineStr">
        <is>
          <t>Recent patients exist; a searchable patient exists.</t>
        </is>
      </c>
      <c r="G64" s="12" t="inlineStr">
        <is>
          <t>1. On Step 1 observe 'Recent Patients' list (loaded on mount).
2. Type &gt;2 chars in the search to search patients.
3. Select a patient; confirm the selected-patient card with a 'Change' link.</t>
        </is>
      </c>
      <c r="H64" s="12" t="inlineStr">
        <is>
          <t>Search: a known patient name (&gt;=3 chars)</t>
        </is>
      </c>
      <c r="I64" s="12" t="inlineStr">
        <is>
          <t>Recent patients load via patients API; search fires only when length &gt; 2; selecting shows the patient card (name, ABHA, age from DOB, phone, location) and 'Change' clears it.</t>
        </is>
      </c>
      <c r="J64" s="12" t="inlineStr">
        <is>
          <t>GET patients recent + GET patients search (patients API)</t>
        </is>
      </c>
      <c r="K64" s="14" t="inlineStr"/>
      <c r="L64" s="15" t="inlineStr">
        <is>
          <t>Not Executed</t>
        </is>
      </c>
      <c r="M64" s="15" t="inlineStr"/>
      <c r="N64" s="15" t="inlineStr"/>
      <c r="O64" s="15" t="inlineStr"/>
      <c r="P64" s="14" t="inlineStr"/>
    </row>
    <row r="65" ht="90" customHeight="1">
      <c r="A65" s="11" t="inlineStr">
        <is>
          <t>INV-064</t>
        </is>
      </c>
      <c r="B65" s="12" t="inlineStr">
        <is>
          <t>Dispensing</t>
        </is>
      </c>
      <c r="C65" s="12" t="inlineStr">
        <is>
          <t>Dispensing Wizard Step 2 - prescription path loads patient prescriptions</t>
        </is>
      </c>
      <c r="D65" s="13" t="inlineStr">
        <is>
          <t>High</t>
        </is>
      </c>
      <c r="E65" s="12" t="inlineStr">
        <is>
          <t>Functional</t>
        </is>
      </c>
      <c r="F65" s="12" t="inlineStr">
        <is>
          <t>Selected patient has at least one OPD/Saranam prescription with pending items.</t>
        </is>
      </c>
      <c r="G65" s="12" t="inlineStr">
        <is>
          <t>1. Advance to Step 2; keep the 'From Prescription' tab.
2. Verify prescriptions render with source badge (OPD/SARANAM_VISIT), status, prescriber, date and medication list with Qty/Dispensed/Pending.
3. Click a prescription card to select it.</t>
        </is>
      </c>
      <c r="H65" s="12" t="inlineStr">
        <is>
          <t>Patient with active prescription</t>
        </is>
      </c>
      <c r="I65" s="12" t="inlineStr">
        <is>
          <t>GET prescriptions returns the list; selecting maps medications into items (qty defaults to pending_quantity); the card highlights with 'Selected for Dispensing'.</t>
        </is>
      </c>
      <c r="J65" s="12" t="inlineStr">
        <is>
          <t>GET /api/inventory/prescriptions/patient/{patient_id}</t>
        </is>
      </c>
      <c r="K65" s="14" t="inlineStr"/>
      <c r="L65" s="15" t="inlineStr">
        <is>
          <t>Not Executed</t>
        </is>
      </c>
      <c r="M65" s="15" t="inlineStr"/>
      <c r="N65" s="15" t="inlineStr"/>
      <c r="O65" s="15" t="inlineStr"/>
      <c r="P65" s="14" t="inlineStr"/>
    </row>
    <row r="66" ht="45" customHeight="1">
      <c r="A66" s="11" t="inlineStr">
        <is>
          <t>INV-065</t>
        </is>
      </c>
      <c r="B66" s="12" t="inlineStr">
        <is>
          <t>Dispensing</t>
        </is>
      </c>
      <c r="C66" s="12" t="inlineStr">
        <is>
          <t>Dispensing Wizard Step 2 - prescription empty state</t>
        </is>
      </c>
      <c r="D66" s="20" t="inlineStr">
        <is>
          <t>Low</t>
        </is>
      </c>
      <c r="E66" s="12" t="inlineStr">
        <is>
          <t>UI/UX</t>
        </is>
      </c>
      <c r="F66" s="12" t="inlineStr">
        <is>
          <t>Selected patient has NO prescriptions.</t>
        </is>
      </c>
      <c r="G66" s="12" t="inlineStr">
        <is>
          <t>1. Select a patient with no prescriptions and advance to Step 2 'From Prescription'.</t>
        </is>
      </c>
      <c r="H66" s="12" t="inlineStr">
        <is>
          <t>Patient with no prescriptions</t>
        </is>
      </c>
      <c r="I66" s="12" t="inlineStr">
        <is>
          <t>PrescriptionSelector shows 'No active prescriptions found / This patient has no pending prescriptions to dispense'.</t>
        </is>
      </c>
      <c r="J66" s="12" t="inlineStr">
        <is>
          <t>GET /api/inventory/prescriptions/patient/{patient_id}</t>
        </is>
      </c>
      <c r="K66" s="14" t="inlineStr"/>
      <c r="L66" s="15" t="inlineStr">
        <is>
          <t>Not Executed</t>
        </is>
      </c>
      <c r="M66" s="15" t="inlineStr"/>
      <c r="N66" s="15" t="inlineStr"/>
      <c r="O66" s="15" t="inlineStr"/>
      <c r="P66" s="14" t="inlineStr"/>
    </row>
    <row r="67" ht="75" customHeight="1">
      <c r="A67" s="11" t="inlineStr">
        <is>
          <t>INV-066</t>
        </is>
      </c>
      <c r="B67" s="12" t="inlineStr">
        <is>
          <t>Dispensing</t>
        </is>
      </c>
      <c r="C67" s="12" t="inlineStr">
        <is>
          <t>Dispensing Wizard Step 2 - Direct Dispense (QuickDispenseSelector)</t>
        </is>
      </c>
      <c r="D67" s="13" t="inlineStr">
        <is>
          <t>High</t>
        </is>
      </c>
      <c r="E67" s="12" t="inlineStr">
        <is>
          <t>Functional</t>
        </is>
      </c>
      <c r="F67" s="12" t="inlineStr">
        <is>
          <t>Medicines seeded.</t>
        </is>
      </c>
      <c r="G67" s="12" t="inlineStr">
        <is>
          <t>1. On Step 2 switch to the 'Direct Dispense' tab.
2. Click 'Add Medicine', search (&gt;2 chars), and add a medicine.
3. Set a quantity and enter instructions.</t>
        </is>
      </c>
      <c r="H67" s="12" t="inlineStr">
        <is>
          <t>Medicine Paracetamol, Qty 5, Instructions '1-0-1 x 5 days'</t>
        </is>
      </c>
      <c r="I67" s="12" t="inlineStr">
        <is>
          <t>Search uses medicines/search; adding sets dispense_type 'direct' and an item with qty 1 default; a yellow Direct Dispensing warning banner shows; duplicate add is blocked with an alert.</t>
        </is>
      </c>
      <c r="J67" s="12" t="inlineStr">
        <is>
          <t>GET /api/inventory/medicines/search?q=Paracetamol&amp;limit=20</t>
        </is>
      </c>
      <c r="K67" s="14" t="inlineStr"/>
      <c r="L67" s="15" t="inlineStr">
        <is>
          <t>Not Executed</t>
        </is>
      </c>
      <c r="M67" s="15" t="inlineStr"/>
      <c r="N67" s="15" t="inlineStr"/>
      <c r="O67" s="15" t="inlineStr"/>
      <c r="P67" s="14" t="inlineStr"/>
    </row>
    <row r="68" ht="45" customHeight="1">
      <c r="A68" s="11" t="inlineStr">
        <is>
          <t>INV-067</t>
        </is>
      </c>
      <c r="B68" s="12" t="inlineStr">
        <is>
          <t>Dispensing</t>
        </is>
      </c>
      <c r="C68" s="12" t="inlineStr">
        <is>
          <t>Dispensing Wizard Step 2 requires at least one item</t>
        </is>
      </c>
      <c r="D68" s="19" t="inlineStr">
        <is>
          <t>Medium</t>
        </is>
      </c>
      <c r="E68" s="12" t="inlineStr">
        <is>
          <t>Validation</t>
        </is>
      </c>
      <c r="F68" s="12" t="inlineStr">
        <is>
          <t>On Step 2 with no prescription selected and no direct items.</t>
        </is>
      </c>
      <c r="G68" s="12" t="inlineStr">
        <is>
          <t>1. Click Next without selecting a prescription or adding direct items.</t>
        </is>
      </c>
      <c r="H68" s="12" t="inlineStr">
        <is>
          <t>items = []</t>
        </is>
      </c>
      <c r="I68" s="12" t="inlineStr">
        <is>
          <t>Error 'Please select a prescription or add medicines'; cannot advance.</t>
        </is>
      </c>
      <c r="J68" s="12" t="inlineStr">
        <is>
          <t>N/A</t>
        </is>
      </c>
      <c r="K68" s="14" t="inlineStr"/>
      <c r="L68" s="15" t="inlineStr">
        <is>
          <t>Not Executed</t>
        </is>
      </c>
      <c r="M68" s="15" t="inlineStr"/>
      <c r="N68" s="15" t="inlineStr"/>
      <c r="O68" s="15" t="inlineStr"/>
      <c r="P68" s="14" t="inlineStr"/>
    </row>
    <row r="69" ht="120" customHeight="1">
      <c r="A69" s="11" t="inlineStr">
        <is>
          <t>INV-068</t>
        </is>
      </c>
      <c r="B69" s="12" t="inlineStr">
        <is>
          <t>Dispensing</t>
        </is>
      </c>
      <c r="C69" s="12" t="inlineStr">
        <is>
          <t>Dispensing Wizard Step 3 - BatchSelector FEFO auto-selection</t>
        </is>
      </c>
      <c r="D69" s="13" t="inlineStr">
        <is>
          <t>High</t>
        </is>
      </c>
      <c r="E69" s="12" t="inlineStr">
        <is>
          <t>Functional</t>
        </is>
      </c>
      <c r="F69" s="12" t="inlineStr">
        <is>
          <t>Selected medicine has multiple available batches with different expiry dates.</t>
        </is>
      </c>
      <c r="G69" s="12" t="inlineStr">
        <is>
          <t>1. Advance to Step 3.
2. For each medicine confirm the Batch Selection card shows Required/Available/Selected and a batches table sorted by earliest expiry (FEFO checkbox on by default).
3. Verify the first batch is tagged 'Recommended' and auto-selection fills the required quantity.</t>
        </is>
      </c>
      <c r="H69" s="12" t="inlineStr">
        <is>
          <t>Medicine with batches expiring on different dates</t>
        </is>
      </c>
      <c r="I69" s="12" t="inlineStr">
        <is>
          <t>Batches load (response.data.batches); FEFO sorts by expiry ascending; auto-select allocates from earliest-expiry batches until required qty met; expiry badges colour-coded (expired/&lt;=30/&lt;=90/healthy); expired rows are disabled and dimmed.</t>
        </is>
      </c>
      <c r="J69" s="12" t="inlineStr">
        <is>
          <t>GET /api/inventory/batches?medicine_id={id}&amp;available_only=true</t>
        </is>
      </c>
      <c r="K69" s="14" t="inlineStr"/>
      <c r="L69" s="15" t="inlineStr">
        <is>
          <t>Not Executed</t>
        </is>
      </c>
      <c r="M69" s="15" t="inlineStr"/>
      <c r="N69" s="15" t="inlineStr"/>
      <c r="O69" s="15" t="inlineStr"/>
      <c r="P69" s="14" t="inlineStr"/>
    </row>
    <row r="70" ht="60" customHeight="1">
      <c r="A70" s="11" t="inlineStr">
        <is>
          <t>INV-069</t>
        </is>
      </c>
      <c r="B70" s="12" t="inlineStr">
        <is>
          <t>Dispensing</t>
        </is>
      </c>
      <c r="C70" s="12" t="inlineStr">
        <is>
          <t>Dispensing Wizard Step 3 - FIFO toggle re-sorts batches</t>
        </is>
      </c>
      <c r="D70" s="19" t="inlineStr">
        <is>
          <t>Medium</t>
        </is>
      </c>
      <c r="E70" s="12" t="inlineStr">
        <is>
          <t>Functional</t>
        </is>
      </c>
      <c r="F70" s="12" t="inlineStr">
        <is>
          <t>Batches with differing manufacture dates.</t>
        </is>
      </c>
      <c r="G70" s="12" t="inlineStr">
        <is>
          <t>1. On Step 3 uncheck 'Use FEFO (First Expiry, First Out)'.
2. Click 'Auto-Select FIFO'.</t>
        </is>
      </c>
      <c r="H70" s="12" t="inlineStr">
        <is>
          <t>N/A</t>
        </is>
      </c>
      <c r="I70" s="12" t="inlineStr">
        <is>
          <t>Batches re-sort by manufacture_date ascending; auto-select label changes to 'Auto-Select FIFO' and allocates from oldest-manufactured batches first.</t>
        </is>
      </c>
      <c r="J70" s="12" t="inlineStr">
        <is>
          <t>N/A</t>
        </is>
      </c>
      <c r="K70" s="14" t="inlineStr"/>
      <c r="L70" s="15" t="inlineStr">
        <is>
          <t>Not Executed</t>
        </is>
      </c>
      <c r="M70" s="15" t="inlineStr"/>
      <c r="N70" s="15" t="inlineStr"/>
      <c r="O70" s="15" t="inlineStr"/>
      <c r="P70" s="14" t="inlineStr"/>
    </row>
    <row r="71" ht="90" customHeight="1">
      <c r="A71" s="11" t="inlineStr">
        <is>
          <t>INV-070</t>
        </is>
      </c>
      <c r="B71" s="12" t="inlineStr">
        <is>
          <t>Dispensing</t>
        </is>
      </c>
      <c r="C71" s="12" t="inlineStr">
        <is>
          <t>Dispensing Wizard Step 3 - insufficient stock warning blocks advance</t>
        </is>
      </c>
      <c r="D71" s="13" t="inlineStr">
        <is>
          <t>High</t>
        </is>
      </c>
      <c r="E71" s="12" t="inlineStr">
        <is>
          <t>Negative</t>
        </is>
      </c>
      <c r="F71" s="12" t="inlineStr">
        <is>
          <t>Required quantity exceeds total available across batches.</t>
        </is>
      </c>
      <c r="G71" s="12" t="inlineStr">
        <is>
          <t>1. Set/select a medicine quantity greater than the sum of available batch quantities.
2. Observe the Stock Summary and try Next.</t>
        </is>
      </c>
      <c r="H71" s="12" t="inlineStr">
        <is>
          <t>Required 500, Available 120</t>
        </is>
      </c>
      <c r="I71" s="12" t="inlineStr">
        <is>
          <t>Red 'Insufficient Stock - Only 120 units available. 380 units short.' banner; Available shown in red; validateStep3 fails (total selected &lt; required) -&gt; error 'Please select batches for all medicines' and the wizard will not advance.</t>
        </is>
      </c>
      <c r="J71" s="12" t="inlineStr">
        <is>
          <t>GET /api/inventory/batches?medicine_id={id}&amp;available_only=true</t>
        </is>
      </c>
      <c r="K71" s="14" t="inlineStr"/>
      <c r="L71" s="15" t="inlineStr">
        <is>
          <t>Not Executed</t>
        </is>
      </c>
      <c r="M71" s="15" t="inlineStr"/>
      <c r="N71" s="15" t="inlineStr"/>
      <c r="O71" s="15" t="inlineStr"/>
      <c r="P71" s="14" t="inlineStr"/>
    </row>
    <row r="72" ht="60" customHeight="1">
      <c r="A72" s="11" t="inlineStr">
        <is>
          <t>INV-071</t>
        </is>
      </c>
      <c r="B72" s="12" t="inlineStr">
        <is>
          <t>Dispensing</t>
        </is>
      </c>
      <c r="C72" s="12" t="inlineStr">
        <is>
          <t>Dispensing Wizard Step 3 - per-batch quantity cannot exceed batch availability</t>
        </is>
      </c>
      <c r="D72" s="19" t="inlineStr">
        <is>
          <t>Medium</t>
        </is>
      </c>
      <c r="E72" s="12" t="inlineStr">
        <is>
          <t>Validation</t>
        </is>
      </c>
      <c r="F72" s="12" t="inlineStr">
        <is>
          <t>A batch with available_quantity e.g. 50.</t>
        </is>
      </c>
      <c r="G72" s="12" t="inlineStr">
        <is>
          <t>1. In the Dispense Qty input for that batch type 999.</t>
        </is>
      </c>
      <c r="H72" s="12" t="inlineStr">
        <is>
          <t>Batch available 50, enter 999</t>
        </is>
      </c>
      <c r="I72" s="12" t="inlineStr">
        <is>
          <t>Entered value is clamped to the batch available_quantity (Math.min). Over-selection across batches beyond Required shows the orange 'Over-Selected' banner.</t>
        </is>
      </c>
      <c r="J72" s="12" t="inlineStr">
        <is>
          <t>N/A</t>
        </is>
      </c>
      <c r="K72" s="14" t="inlineStr"/>
      <c r="L72" s="15" t="inlineStr">
        <is>
          <t>Not Executed</t>
        </is>
      </c>
      <c r="M72" s="15" t="inlineStr"/>
      <c r="N72" s="15" t="inlineStr"/>
      <c r="O72" s="15" t="inlineStr"/>
      <c r="P72" s="14" t="inlineStr"/>
    </row>
    <row r="73" ht="195" customHeight="1">
      <c r="A73" s="11" t="inlineStr">
        <is>
          <t>INV-072</t>
        </is>
      </c>
      <c r="B73" s="12" t="inlineStr">
        <is>
          <t>Dispensing</t>
        </is>
      </c>
      <c r="C73" s="12" t="inlineStr">
        <is>
          <t>Dispensing Wizard Step 4 review and confirm dispense</t>
        </is>
      </c>
      <c r="D73" s="13" t="inlineStr">
        <is>
          <t>High</t>
        </is>
      </c>
      <c r="E73" s="12" t="inlineStr">
        <is>
          <t>Functional</t>
        </is>
      </c>
      <c r="F73" s="12" t="inlineStr">
        <is>
          <t>Steps 1-3 valid; logged in as admin/data_entry (dispense permission).</t>
        </is>
      </c>
      <c r="G73" s="12" t="inlineStr">
        <is>
          <t>1. On Step 4 review Patient, Prescription (if any), Medicines with selected batches and dispense type.
2. Click 'Confirm &amp; Dispense'.
3. Watch the payload and the redirect.</t>
        </is>
      </c>
      <c r="H73" s="12" t="inlineStr">
        <is>
          <t>Valid dispense with batches selected</t>
        </is>
      </c>
      <c r="I73" s="12" t="inlineStr">
        <is>
          <t>On success app redirects to /inventory/dispensing/{record id}. DEFECT-WATCH: the wizard posts {patient_id, prescription_id, dispense_type, notes, items:[{medicine_id, quantity, instructions, batches:[...]}]} but DispenseCreateSchema expects a single-medicine body {patient_id, medicine_id, dispensed_quantity, dispensed_from_location, batch_id}. A 422 'Validation error' (missing medicine_id/dispensed_quantity/dispensed_from_location) indicates a payload-shape mismatch defect - verify whether dispensing actually persists.</t>
        </is>
      </c>
      <c r="J73" s="12" t="inlineStr">
        <is>
          <t>POST /api/inventory/dispensing/dispense</t>
        </is>
      </c>
      <c r="K73" s="14" t="inlineStr"/>
      <c r="L73" s="15" t="inlineStr">
        <is>
          <t>Not Executed</t>
        </is>
      </c>
      <c r="M73" s="15" t="inlineStr"/>
      <c r="N73" s="15" t="inlineStr"/>
      <c r="O73" s="15" t="inlineStr"/>
      <c r="P73" s="14" t="inlineStr"/>
    </row>
    <row r="74" ht="45" customHeight="1">
      <c r="A74" s="11" t="inlineStr">
        <is>
          <t>INV-073</t>
        </is>
      </c>
      <c r="B74" s="12" t="inlineStr">
        <is>
          <t>Dispensing</t>
        </is>
      </c>
      <c r="C74" s="12" t="inlineStr">
        <is>
          <t>Dispensing Wizard submit error surfaces server message</t>
        </is>
      </c>
      <c r="D74" s="19" t="inlineStr">
        <is>
          <t>Medium</t>
        </is>
      </c>
      <c r="E74" s="12" t="inlineStr">
        <is>
          <t>Negative</t>
        </is>
      </c>
      <c r="F74" s="12" t="inlineStr">
        <is>
          <t>Force a backend rejection on dispense.</t>
        </is>
      </c>
      <c r="G74" s="12" t="inlineStr">
        <is>
          <t>1. Confirm &amp; Dispense with a payload the backend rejects.
2. Observe Step 4.</t>
        </is>
      </c>
      <c r="H74" s="12" t="inlineStr">
        <is>
          <t>Rejected dispense payload</t>
        </is>
      </c>
      <c r="I74" s="12" t="inlineStr">
        <is>
          <t>Red box at bottom of Step 4 shows the server message or 'Failed to dispense medicines'; no redirect.</t>
        </is>
      </c>
      <c r="J74" s="12" t="inlineStr">
        <is>
          <t>POST /api/inventory/dispensing/dispense -&gt; 400/422</t>
        </is>
      </c>
      <c r="K74" s="14" t="inlineStr"/>
      <c r="L74" s="15" t="inlineStr">
        <is>
          <t>Not Executed</t>
        </is>
      </c>
      <c r="M74" s="15" t="inlineStr"/>
      <c r="N74" s="15" t="inlineStr"/>
      <c r="O74" s="15" t="inlineStr"/>
      <c r="P74" s="14" t="inlineStr"/>
    </row>
    <row r="75" ht="75" customHeight="1">
      <c r="A75" s="11" t="inlineStr">
        <is>
          <t>INV-074</t>
        </is>
      </c>
      <c r="B75" s="12" t="inlineStr">
        <is>
          <t>Dispensing</t>
        </is>
      </c>
      <c r="C75" s="12" t="inlineStr">
        <is>
          <t>Dispensing Dashboard KPIs and recent records</t>
        </is>
      </c>
      <c r="D75" s="19" t="inlineStr">
        <is>
          <t>Medium</t>
        </is>
      </c>
      <c r="E75" s="12" t="inlineStr">
        <is>
          <t>Functional</t>
        </is>
      </c>
      <c r="F75" s="12" t="inlineStr">
        <is>
          <t>Some dispensing activity today; logged in as admin.</t>
        </is>
      </c>
      <c r="G75" s="12" t="inlineStr">
        <is>
          <t>1. Navigate to /inventory/dispense/dashboard.
2. Verify the 4 stat cards (Today's Dispensing, Patients Served, Total Items, Pending Returns) and the Recent Dispensing Records table (max 5 rows).</t>
        </is>
      </c>
      <c r="H75" s="12" t="inlineStr">
        <is>
          <t>N/A</t>
        </is>
      </c>
      <c r="I75" s="12" t="inlineStr">
        <is>
          <t>KPIs come from analytics/kpis (today_dispensing, patients_served_today, total_items_today, pending_returns; default 0 if absent); recent records from the dispensing list; clicking a recent row opens its detail.</t>
        </is>
      </c>
      <c r="J75" s="12" t="inlineStr">
        <is>
          <t>GET /api/inventory/analytics/kpis, GET /api/inventory/dispensing?page=1&amp;per_page=10</t>
        </is>
      </c>
      <c r="K75" s="14" t="inlineStr"/>
      <c r="L75" s="15" t="inlineStr">
        <is>
          <t>Not Executed</t>
        </is>
      </c>
      <c r="M75" s="15" t="inlineStr"/>
      <c r="N75" s="15" t="inlineStr"/>
      <c r="O75" s="15" t="inlineStr"/>
      <c r="P75" s="14" t="inlineStr"/>
    </row>
    <row r="76" ht="75" customHeight="1">
      <c r="A76" s="11" t="inlineStr">
        <is>
          <t>INV-075</t>
        </is>
      </c>
      <c r="B76" s="12" t="inlineStr">
        <is>
          <t>Dispensing</t>
        </is>
      </c>
      <c r="C76" s="12" t="inlineStr">
        <is>
          <t>Dispensing Dashboard quick actions and empty state</t>
        </is>
      </c>
      <c r="D76" s="20" t="inlineStr">
        <is>
          <t>Low</t>
        </is>
      </c>
      <c r="E76" s="12" t="inlineStr">
        <is>
          <t>UI/UX</t>
        </is>
      </c>
      <c r="F76" s="12" t="inlineStr">
        <is>
          <t>No dispensing records (or fresh environment).</t>
        </is>
      </c>
      <c r="G76" s="12" t="inlineStr">
        <is>
          <t>1. On /inventory/dispense/dashboard with no records, verify the empty state and the three Quick Action buttons.
2. Click 'New Dispensing', 'View All Records', 'Low Stock Alerts'.</t>
        </is>
      </c>
      <c r="H76" s="12" t="inlineStr">
        <is>
          <t>N/A</t>
        </is>
      </c>
      <c r="I76" s="12" t="inlineStr">
        <is>
          <t>Empty state 'No dispensing records yet'; Quick Actions route to /inventory/dispense/new, /inventory/dispense, /inventory/stock respectively.</t>
        </is>
      </c>
      <c r="J76" s="12" t="inlineStr">
        <is>
          <t>N/A</t>
        </is>
      </c>
      <c r="K76" s="14" t="inlineStr"/>
      <c r="L76" s="15" t="inlineStr">
        <is>
          <t>Not Executed</t>
        </is>
      </c>
      <c r="M76" s="15" t="inlineStr"/>
      <c r="N76" s="15" t="inlineStr"/>
      <c r="O76" s="15" t="inlineStr"/>
      <c r="P76" s="14" t="inlineStr"/>
    </row>
    <row r="77" ht="90" customHeight="1">
      <c r="A77" s="11" t="inlineStr">
        <is>
          <t>INV-076</t>
        </is>
      </c>
      <c r="B77" s="12" t="inlineStr">
        <is>
          <t>Dispensing</t>
        </is>
      </c>
      <c r="C77" s="12" t="inlineStr">
        <is>
          <t>Dispensing Detail view renders patient/prescription/items</t>
        </is>
      </c>
      <c r="D77" s="13" t="inlineStr">
        <is>
          <t>High</t>
        </is>
      </c>
      <c r="E77" s="12" t="inlineStr">
        <is>
          <t>Functional</t>
        </is>
      </c>
      <c r="F77" s="12" t="inlineStr">
        <is>
          <t>A valid dispensing record id.</t>
        </is>
      </c>
      <c r="G77" s="12" t="inlineStr">
        <is>
          <t>1. Open /inventory/dispensing/{id}.
2. Verify Patient Information, Prescription Details (if any), Dispensing Details, and the Dispensed Medicines table (Medicine, Batch, Expiry, Dispensed Qty, Returned Qty, Instructions, Actions).</t>
        </is>
      </c>
      <c r="H77" s="12" t="inlineStr">
        <is>
          <t>Existing dispensing record id</t>
        </is>
      </c>
      <c r="I77" s="12" t="inlineStr">
        <is>
          <t>Record loads via GET; all cards populated; batch number and expiry shown per item; type badge in header.</t>
        </is>
      </c>
      <c r="J77" s="12" t="inlineStr">
        <is>
          <t>GET /api/inventory/dispensing/{id}</t>
        </is>
      </c>
      <c r="K77" s="14" t="inlineStr"/>
      <c r="L77" s="15" t="inlineStr">
        <is>
          <t>Not Executed</t>
        </is>
      </c>
      <c r="M77" s="15" t="inlineStr"/>
      <c r="N77" s="15" t="inlineStr"/>
      <c r="O77" s="15" t="inlineStr"/>
      <c r="P77" s="14" t="inlineStr"/>
    </row>
    <row r="78" ht="60" customHeight="1">
      <c r="A78" s="11" t="inlineStr">
        <is>
          <t>INV-077</t>
        </is>
      </c>
      <c r="B78" s="12" t="inlineStr">
        <is>
          <t>Dispensing</t>
        </is>
      </c>
      <c r="C78" s="12" t="inlineStr">
        <is>
          <t>Dispensing Detail - return medicine flow</t>
        </is>
      </c>
      <c r="D78" s="13" t="inlineStr">
        <is>
          <t>High</t>
        </is>
      </c>
      <c r="E78" s="12" t="inlineStr">
        <is>
          <t>Functional</t>
        </is>
      </c>
      <c r="F78" s="12" t="inlineStr">
        <is>
          <t>A record with a returnable item (dispensed_quantity &gt; returned_quantity); dispense permission.</t>
        </is>
      </c>
      <c r="G78" s="12" t="inlineStr">
        <is>
          <t>1. Click 'Return' on a returnable item row.
2. In the dialog set a return quantity and a reason.
3. Click 'Confirm Return'.</t>
        </is>
      </c>
      <c r="H78" s="12" t="inlineStr">
        <is>
          <t>Return Qty 2, Reason 'Patient discharged'</t>
        </is>
      </c>
      <c r="I78" s="12" t="inlineStr">
        <is>
          <t>POST .../return returns 200; dialog closes; record re-fetched; the item's Returned Qty badge updates. The quantity input is capped at (dispensed - already returned).</t>
        </is>
      </c>
      <c r="J78" s="12" t="inlineStr">
        <is>
          <t>POST /api/inventory/dispensing/{id}/return</t>
        </is>
      </c>
      <c r="K78" s="14" t="inlineStr"/>
      <c r="L78" s="15" t="inlineStr">
        <is>
          <t>Not Executed</t>
        </is>
      </c>
      <c r="M78" s="15" t="inlineStr"/>
      <c r="N78" s="15" t="inlineStr"/>
      <c r="O78" s="15" t="inlineStr"/>
      <c r="P78" s="14" t="inlineStr"/>
    </row>
    <row r="79" ht="90" customHeight="1">
      <c r="A79" s="11" t="inlineStr">
        <is>
          <t>INV-078</t>
        </is>
      </c>
      <c r="B79" s="12" t="inlineStr">
        <is>
          <t>Dispensing</t>
        </is>
      </c>
      <c r="C79" s="12" t="inlineStr">
        <is>
          <t>Dispensing Detail - return validation (reason and qty)</t>
        </is>
      </c>
      <c r="D79" s="19" t="inlineStr">
        <is>
          <t>Medium</t>
        </is>
      </c>
      <c r="E79" s="12" t="inlineStr">
        <is>
          <t>Validation</t>
        </is>
      </c>
      <c r="F79" s="12" t="inlineStr">
        <is>
          <t>Return dialog open.</t>
        </is>
      </c>
      <c r="G79" s="12" t="inlineStr">
        <is>
          <t>1. Clear the reason and click Confirm Return.
2. Set return quantity to 0 and click Confirm Return.</t>
        </is>
      </c>
      <c r="H79" s="12" t="inlineStr">
        <is>
          <t>Reason blank; Qty 0</t>
        </is>
      </c>
      <c r="I79" s="12" t="inlineStr">
        <is>
          <t>Alert 'Please provide a reason for return' when reason empty; alert 'Return quantity must be greater than 0' when qty &lt;= 0; no API call. NOTE: these early returns do not reset actionLoading - watch for a stuck 'Processing...' button (minor defect).</t>
        </is>
      </c>
      <c r="J79" s="12" t="inlineStr">
        <is>
          <t>N/A</t>
        </is>
      </c>
      <c r="K79" s="14" t="inlineStr"/>
      <c r="L79" s="15" t="inlineStr">
        <is>
          <t>Not Executed</t>
        </is>
      </c>
      <c r="M79" s="15" t="inlineStr"/>
      <c r="N79" s="15" t="inlineStr"/>
      <c r="O79" s="15" t="inlineStr"/>
      <c r="P79" s="14" t="inlineStr"/>
    </row>
    <row r="80" ht="30" customHeight="1">
      <c r="A80" s="11" t="inlineStr">
        <is>
          <t>INV-079</t>
        </is>
      </c>
      <c r="B80" s="12" t="inlineStr">
        <is>
          <t>Dispensing</t>
        </is>
      </c>
      <c r="C80" s="12" t="inlineStr">
        <is>
          <t>Dispensing Detail - not-found id</t>
        </is>
      </c>
      <c r="D80" s="19" t="inlineStr">
        <is>
          <t>Medium</t>
        </is>
      </c>
      <c r="E80" s="12" t="inlineStr">
        <is>
          <t>Negative</t>
        </is>
      </c>
      <c r="F80" s="12" t="inlineStr">
        <is>
          <t>Logged in as admin.</t>
        </is>
      </c>
      <c r="G80" s="12" t="inlineStr">
        <is>
          <t>1. Open /inventory/dispensing/00000000-0000-0000-0000-000000000000.</t>
        </is>
      </c>
      <c r="H80" s="12" t="inlineStr">
        <is>
          <t>Non-existent dispensing id</t>
        </is>
      </c>
      <c r="I80" s="12" t="inlineStr">
        <is>
          <t>GET returns 404; the page shows 'Dispensing record not found'.</t>
        </is>
      </c>
      <c r="J80" s="12" t="inlineStr">
        <is>
          <t>GET /api/inventory/dispensing/{bad-id} -&gt; 404</t>
        </is>
      </c>
      <c r="K80" s="14" t="inlineStr"/>
      <c r="L80" s="15" t="inlineStr">
        <is>
          <t>Not Executed</t>
        </is>
      </c>
      <c r="M80" s="15" t="inlineStr"/>
      <c r="N80" s="15" t="inlineStr"/>
      <c r="O80" s="15" t="inlineStr"/>
      <c r="P80" s="14" t="inlineStr"/>
    </row>
    <row r="81" ht="60" customHeight="1">
      <c r="A81" s="11" t="inlineStr">
        <is>
          <t>INV-080</t>
        </is>
      </c>
      <c r="B81" s="12" t="inlineStr">
        <is>
          <t>Dispensing</t>
        </is>
      </c>
      <c r="C81" s="12" t="inlineStr">
        <is>
          <t>Viewer role cannot dispense (403)</t>
        </is>
      </c>
      <c r="D81" s="13" t="inlineStr">
        <is>
          <t>High</t>
        </is>
      </c>
      <c r="E81" s="12" t="inlineStr">
        <is>
          <t>Permission</t>
        </is>
      </c>
      <c r="F81" s="12" t="inlineStr">
        <is>
          <t>Logged in as viewer (read-only).</t>
        </is>
      </c>
      <c r="G81" s="12" t="inlineStr">
        <is>
          <t>1. Open the Dispensing Wizard, complete steps and click 'Confirm &amp; Dispense'.
2. Watch the response.</t>
        </is>
      </c>
      <c r="H81" s="12" t="inlineStr">
        <is>
          <t>Valid dispense attempt</t>
        </is>
      </c>
      <c r="I81" s="12" t="inlineStr">
        <is>
          <t>POST /dispensing/dispense returns 403 'Insufficient permissions. Required: dispense'; the error box shows the message; nothing is dispensed.</t>
        </is>
      </c>
      <c r="J81" s="12" t="inlineStr">
        <is>
          <t>POST /api/inventory/dispensing/dispense -&gt; 403</t>
        </is>
      </c>
      <c r="K81" s="14" t="inlineStr"/>
      <c r="L81" s="15" t="inlineStr">
        <is>
          <t>Not Executed</t>
        </is>
      </c>
      <c r="M81" s="15" t="inlineStr"/>
      <c r="N81" s="15" t="inlineStr"/>
      <c r="O81" s="15" t="inlineStr"/>
      <c r="P81" s="14" t="inlineStr"/>
    </row>
    <row r="82" ht="105" customHeight="1">
      <c r="A82" s="16" t="inlineStr">
        <is>
          <t>INV-081</t>
        </is>
      </c>
      <c r="B82" s="17" t="inlineStr">
        <is>
          <t>Alerts</t>
        </is>
      </c>
      <c r="C82" s="17" t="inlineStr">
        <is>
          <t>Alerts list loads with status tabs and counts</t>
        </is>
      </c>
      <c r="D82" s="21" t="inlineStr">
        <is>
          <t>High</t>
        </is>
      </c>
      <c r="E82" s="17" t="inlineStr">
        <is>
          <t>Functional</t>
        </is>
      </c>
      <c r="F82" s="17" t="inlineStr">
        <is>
          <t>Active alerts exist; logged in as admin.</t>
        </is>
      </c>
      <c r="G82" s="17" t="inlineStr">
        <is>
          <t>1. Navigate to /inventory/alerts.
2. Confirm the default tab is 'Active' and the tabs (Active/Acknowledged/Resolved/All Alerts) with count badges.
3. Verify each AlertCard shows type label, severity badge, message, medicine/batch/location and timestamps.</t>
        </is>
      </c>
      <c r="H82" s="17" t="inlineStr">
        <is>
          <t>N/A</t>
        </is>
      </c>
      <c r="I82" s="17" t="inlineStr">
        <is>
          <t>Active tab loads alerts with acknowledged=false &amp; resolved=false; cards render correctly; the Active tab shows a red count badge when count &gt; 0.</t>
        </is>
      </c>
      <c r="J82" s="17" t="inlineStr">
        <is>
          <t>GET /api/inventory/alerts?page=1&amp;per_page=20&amp;acknowledged=false&amp;resolved=false</t>
        </is>
      </c>
      <c r="K82" s="14" t="inlineStr"/>
      <c r="L82" s="15" t="inlineStr">
        <is>
          <t>Not Executed</t>
        </is>
      </c>
      <c r="M82" s="15" t="inlineStr"/>
      <c r="N82" s="15" t="inlineStr"/>
      <c r="O82" s="15" t="inlineStr"/>
      <c r="P82" s="14" t="inlineStr"/>
    </row>
    <row r="83" ht="60" customHeight="1">
      <c r="A83" s="16" t="inlineStr">
        <is>
          <t>INV-082</t>
        </is>
      </c>
      <c r="B83" s="17" t="inlineStr">
        <is>
          <t>Alerts</t>
        </is>
      </c>
      <c r="C83" s="17" t="inlineStr">
        <is>
          <t>Alerts type and severity filters</t>
        </is>
      </c>
      <c r="D83" s="18" t="inlineStr">
        <is>
          <t>Medium</t>
        </is>
      </c>
      <c r="E83" s="17" t="inlineStr">
        <is>
          <t>Functional</t>
        </is>
      </c>
      <c r="F83" s="17" t="inlineStr">
        <is>
          <t>Alerts of multiple types/severities.</t>
        </is>
      </c>
      <c r="G83" s="17" t="inlineStr">
        <is>
          <t>1. Set Type filter = Low Stock, then Out of Stock, Near Expiry, Expired.
2. Set Severity = Critical, High, Medium, Low.
3. Watch the requests.</t>
        </is>
      </c>
      <c r="H83" s="17" t="inlineStr">
        <is>
          <t>Type: low_stock; Severity: critical</t>
        </is>
      </c>
      <c r="I83" s="17" t="inlineStr">
        <is>
          <t>Type sends alert_type=&lt;value&gt;; severity sends severity=&lt;value&gt;; 'All Types'/'All Severities' clear them; list updates accordingly.</t>
        </is>
      </c>
      <c r="J83" s="17" t="inlineStr">
        <is>
          <t>GET /api/inventory/alerts?alert_type=low_stock&amp;severity=critical</t>
        </is>
      </c>
      <c r="K83" s="14" t="inlineStr"/>
      <c r="L83" s="15" t="inlineStr">
        <is>
          <t>Not Executed</t>
        </is>
      </c>
      <c r="M83" s="15" t="inlineStr"/>
      <c r="N83" s="15" t="inlineStr"/>
      <c r="O83" s="15" t="inlineStr"/>
      <c r="P83" s="14" t="inlineStr"/>
    </row>
    <row r="84" ht="45" customHeight="1">
      <c r="A84" s="16" t="inlineStr">
        <is>
          <t>INV-083</t>
        </is>
      </c>
      <c r="B84" s="17" t="inlineStr">
        <is>
          <t>Alerts</t>
        </is>
      </c>
      <c r="C84" s="17" t="inlineStr">
        <is>
          <t>Acknowledge a single alert</t>
        </is>
      </c>
      <c r="D84" s="21" t="inlineStr">
        <is>
          <t>High</t>
        </is>
      </c>
      <c r="E84" s="17" t="inlineStr">
        <is>
          <t>Functional</t>
        </is>
      </c>
      <c r="F84" s="17" t="inlineStr">
        <is>
          <t>An active (unacknowledged) alert exists; write permission.</t>
        </is>
      </c>
      <c r="G84" s="17" t="inlineStr">
        <is>
          <t>1. On an active AlertCard click 'Acknowledge'.
2. Observe the card and list.</t>
        </is>
      </c>
      <c r="H84" s="17" t="inlineStr">
        <is>
          <t>N/A</t>
        </is>
      </c>
      <c r="I84" s="17" t="inlineStr">
        <is>
          <t>POST .../acknowledge returns 200; list re-fetches; the alert now shows an 'Acknowledged' badge and a 'Mark Resolved' button.</t>
        </is>
      </c>
      <c r="J84" s="17" t="inlineStr">
        <is>
          <t>POST /api/inventory/alerts/{id}/acknowledge</t>
        </is>
      </c>
      <c r="K84" s="14" t="inlineStr"/>
      <c r="L84" s="15" t="inlineStr">
        <is>
          <t>Not Executed</t>
        </is>
      </c>
      <c r="M84" s="15" t="inlineStr"/>
      <c r="N84" s="15" t="inlineStr"/>
      <c r="O84" s="15" t="inlineStr"/>
      <c r="P84" s="14" t="inlineStr"/>
    </row>
    <row r="85" ht="60" customHeight="1">
      <c r="A85" s="16" t="inlineStr">
        <is>
          <t>INV-084</t>
        </is>
      </c>
      <c r="B85" s="17" t="inlineStr">
        <is>
          <t>Alerts</t>
        </is>
      </c>
      <c r="C85" s="17" t="inlineStr">
        <is>
          <t>Resolve an acknowledged alert</t>
        </is>
      </c>
      <c r="D85" s="21" t="inlineStr">
        <is>
          <t>High</t>
        </is>
      </c>
      <c r="E85" s="17" t="inlineStr">
        <is>
          <t>Functional</t>
        </is>
      </c>
      <c r="F85" s="17" t="inlineStr">
        <is>
          <t>An acknowledged (not resolved) alert exists.</t>
        </is>
      </c>
      <c r="G85" s="17" t="inlineStr">
        <is>
          <t>1. On the Acknowledged tab click 'Mark Resolved' on a card.
2. Observe the list.</t>
        </is>
      </c>
      <c r="H85" s="17" t="inlineStr">
        <is>
          <t>Resolution note auto-sent: 'Resolved from alerts list'</t>
        </is>
      </c>
      <c r="I85" s="17" t="inlineStr">
        <is>
          <t>POST .../resolve returns 200 with body {resolution_notes:'Resolved from alerts list'}; list refreshes and the alert moves to Resolved.</t>
        </is>
      </c>
      <c r="J85" s="17" t="inlineStr">
        <is>
          <t>POST /api/inventory/alerts/{id}/resolve</t>
        </is>
      </c>
      <c r="K85" s="14" t="inlineStr"/>
      <c r="L85" s="15" t="inlineStr">
        <is>
          <t>Not Executed</t>
        </is>
      </c>
      <c r="M85" s="15" t="inlineStr"/>
      <c r="N85" s="15" t="inlineStr"/>
      <c r="O85" s="15" t="inlineStr"/>
      <c r="P85" s="14" t="inlineStr"/>
    </row>
    <row r="86" ht="90" customHeight="1">
      <c r="A86" s="16" t="inlineStr">
        <is>
          <t>INV-085</t>
        </is>
      </c>
      <c r="B86" s="17" t="inlineStr">
        <is>
          <t>Alerts</t>
        </is>
      </c>
      <c r="C86" s="17" t="inlineStr">
        <is>
          <t>Bulk Acknowledge All on Active tab</t>
        </is>
      </c>
      <c r="D86" s="18" t="inlineStr">
        <is>
          <t>Medium</t>
        </is>
      </c>
      <c r="E86" s="17" t="inlineStr">
        <is>
          <t>Functional</t>
        </is>
      </c>
      <c r="F86" s="17" t="inlineStr">
        <is>
          <t>Several active alerts on the current page.</t>
        </is>
      </c>
      <c r="G86" s="17" t="inlineStr">
        <is>
          <t>1. On the Active tab click 'Acknowledge All (N)'.
2. Confirm the browser prompt.
3. Observe results.</t>
        </is>
      </c>
      <c r="H86" s="17" t="inlineStr">
        <is>
          <t>N/A</t>
        </is>
      </c>
      <c r="I86" s="17" t="inlineStr">
        <is>
          <t>After confirming, an acknowledge POST fires for each currently-loaded unacknowledged alert sequentially; list refreshes with those alerts acknowledged. The button only appears on the Active tab when count.active &gt; 0.</t>
        </is>
      </c>
      <c r="J86" s="17" t="inlineStr">
        <is>
          <t>POST /api/inventory/alerts/{id}/acknowledge (per alert)</t>
        </is>
      </c>
      <c r="K86" s="14" t="inlineStr"/>
      <c r="L86" s="15" t="inlineStr">
        <is>
          <t>Not Executed</t>
        </is>
      </c>
      <c r="M86" s="15" t="inlineStr"/>
      <c r="N86" s="15" t="inlineStr"/>
      <c r="O86" s="15" t="inlineStr"/>
      <c r="P86" s="14" t="inlineStr"/>
    </row>
    <row r="87" ht="75" customHeight="1">
      <c r="A87" s="16" t="inlineStr">
        <is>
          <t>INV-086</t>
        </is>
      </c>
      <c r="B87" s="17" t="inlineStr">
        <is>
          <t>Alerts</t>
        </is>
      </c>
      <c r="C87" s="17" t="inlineStr">
        <is>
          <t>Alerts tab counts derived from current page only</t>
        </is>
      </c>
      <c r="D87" s="22" t="inlineStr">
        <is>
          <t>Low</t>
        </is>
      </c>
      <c r="E87" s="17" t="inlineStr">
        <is>
          <t>Edge Case</t>
        </is>
      </c>
      <c r="F87" s="17" t="inlineStr">
        <is>
          <t>More than one page of alerts.</t>
        </is>
      </c>
      <c r="G87" s="17" t="inlineStr">
        <is>
          <t>1. Note the count badges on tabs versus the actual total across pages.</t>
        </is>
      </c>
      <c r="H87" s="17" t="inlineStr">
        <is>
          <t>N/A</t>
        </is>
      </c>
      <c r="I87" s="17" t="inlineStr">
        <is>
          <t>DEFECT-WATCH: getAlertCounts is computed from the loaded alerts array (current page), not a server aggregate; counts may understate totals when paginated. Log as a defect/enhancement.</t>
        </is>
      </c>
      <c r="J87" s="17" t="inlineStr">
        <is>
          <t>N/A</t>
        </is>
      </c>
      <c r="K87" s="14" t="inlineStr"/>
      <c r="L87" s="15" t="inlineStr">
        <is>
          <t>Not Executed</t>
        </is>
      </c>
      <c r="M87" s="15" t="inlineStr"/>
      <c r="N87" s="15" t="inlineStr"/>
      <c r="O87" s="15" t="inlineStr"/>
      <c r="P87" s="14" t="inlineStr"/>
    </row>
    <row r="88" ht="60" customHeight="1">
      <c r="A88" s="16" t="inlineStr">
        <is>
          <t>INV-087</t>
        </is>
      </c>
      <c r="B88" s="17" t="inlineStr">
        <is>
          <t>Alerts</t>
        </is>
      </c>
      <c r="C88" s="17" t="inlineStr">
        <is>
          <t>Alerts list empty states per tab</t>
        </is>
      </c>
      <c r="D88" s="22" t="inlineStr">
        <is>
          <t>Low</t>
        </is>
      </c>
      <c r="E88" s="17" t="inlineStr">
        <is>
          <t>UI/UX</t>
        </is>
      </c>
      <c r="F88" s="17" t="inlineStr">
        <is>
          <t>A tab with no alerts.</t>
        </is>
      </c>
      <c r="G88" s="17" t="inlineStr">
        <is>
          <t>1. Switch to a tab (e.g. Resolved) with no alerts.</t>
        </is>
      </c>
      <c r="H88" s="17" t="inlineStr">
        <is>
          <t>N/A</t>
        </is>
      </c>
      <c r="I88" s="17" t="inlineStr">
        <is>
          <t>Bell icon empty card with a context message (e.g. 'No active alerts - your inventory is in good shape!' / 'No resolved alerts').</t>
        </is>
      </c>
      <c r="J88" s="17" t="inlineStr">
        <is>
          <t>GET /api/inventory/alerts</t>
        </is>
      </c>
      <c r="K88" s="14" t="inlineStr"/>
      <c r="L88" s="15" t="inlineStr">
        <is>
          <t>Not Executed</t>
        </is>
      </c>
      <c r="M88" s="15" t="inlineStr"/>
      <c r="N88" s="15" t="inlineStr"/>
      <c r="O88" s="15" t="inlineStr"/>
      <c r="P88" s="14" t="inlineStr"/>
    </row>
    <row r="89" ht="105" customHeight="1">
      <c r="A89" s="16" t="inlineStr">
        <is>
          <t>INV-088</t>
        </is>
      </c>
      <c r="B89" s="17" t="inlineStr">
        <is>
          <t>Alerts</t>
        </is>
      </c>
      <c r="C89" s="17" t="inlineStr">
        <is>
          <t>AlertCard View Medicine / View Batch links</t>
        </is>
      </c>
      <c r="D89" s="22" t="inlineStr">
        <is>
          <t>Low</t>
        </is>
      </c>
      <c r="E89" s="17" t="inlineStr">
        <is>
          <t>Functional</t>
        </is>
      </c>
      <c r="F89" s="17" t="inlineStr">
        <is>
          <t>An alert tied to a medicine_id and/or batch_id.</t>
        </is>
      </c>
      <c r="G89" s="17" t="inlineStr">
        <is>
          <t>1. Click 'View Medicine' on an alert; then 'View Batch' if present.</t>
        </is>
      </c>
      <c r="H89" s="17" t="inlineStr">
        <is>
          <t>N/A</t>
        </is>
      </c>
      <c r="I89" s="17" t="inlineStr">
        <is>
          <t>Navigates to /inventory/medicines/{medicine_id} and /inventory/batches/{batch_id}. DEFECT-WATCH: there are no App.jsx routes for /inventory/medicines/:id or /inventory/batches/:id, so these likely land on a not-found / blank route - log as a broken-link defect.</t>
        </is>
      </c>
      <c r="J89" s="17" t="inlineStr">
        <is>
          <t>N/A</t>
        </is>
      </c>
      <c r="K89" s="14" t="inlineStr"/>
      <c r="L89" s="15" t="inlineStr">
        <is>
          <t>Not Executed</t>
        </is>
      </c>
      <c r="M89" s="15" t="inlineStr"/>
      <c r="N89" s="15" t="inlineStr"/>
      <c r="O89" s="15" t="inlineStr"/>
      <c r="P89" s="14" t="inlineStr"/>
    </row>
    <row r="90" ht="75" customHeight="1">
      <c r="A90" s="16" t="inlineStr">
        <is>
          <t>INV-089</t>
        </is>
      </c>
      <c r="B90" s="17" t="inlineStr">
        <is>
          <t>Alerts</t>
        </is>
      </c>
      <c r="C90" s="17" t="inlineStr">
        <is>
          <t>Alerts Dashboard summary stats and breakdown</t>
        </is>
      </c>
      <c r="D90" s="18" t="inlineStr">
        <is>
          <t>Medium</t>
        </is>
      </c>
      <c r="E90" s="17" t="inlineStr">
        <is>
          <t>Functional</t>
        </is>
      </c>
      <c r="F90" s="17" t="inlineStr">
        <is>
          <t>Active alerts exist; logged in as admin.</t>
        </is>
      </c>
      <c r="G90" s="17" t="inlineStr">
        <is>
          <t>1. Navigate to /inventory/alerts/dashboard.
2. Verify the 4 summary cards (Total Active, Critical, Out of Stock, Near Expiry), the 'Alerts by Type' and 'Alerts by Severity' breakdowns, and the Critical Alerts list.</t>
        </is>
      </c>
      <c r="H90" s="17" t="inlineStr">
        <is>
          <t>N/A</t>
        </is>
      </c>
      <c r="I90" s="17" t="inlineStr">
        <is>
          <t>Stats are computed from two GET /alerts calls (critical+unresolved, and all unresolved); breakdown counts match; Critical Alerts shows up to 3 AlertCards with acknowledge/resolve actions.</t>
        </is>
      </c>
      <c r="J90" s="17" t="inlineStr">
        <is>
          <t>GET /api/inventory/alerts?severity=critical&amp;resolved=false&amp;page=1&amp;per_page=5, GET /api/inventory/alerts?resolved=false</t>
        </is>
      </c>
      <c r="K90" s="14" t="inlineStr"/>
      <c r="L90" s="15" t="inlineStr">
        <is>
          <t>Not Executed</t>
        </is>
      </c>
      <c r="M90" s="15" t="inlineStr"/>
      <c r="N90" s="15" t="inlineStr"/>
      <c r="O90" s="15" t="inlineStr"/>
      <c r="P90" s="14" t="inlineStr"/>
    </row>
    <row r="91" ht="150" customHeight="1">
      <c r="A91" s="16" t="inlineStr">
        <is>
          <t>INV-090</t>
        </is>
      </c>
      <c r="B91" s="17" t="inlineStr">
        <is>
          <t>Alerts</t>
        </is>
      </c>
      <c r="C91" s="17" t="inlineStr">
        <is>
          <t>Alerts Dashboard stat-card and quick-action navigation</t>
        </is>
      </c>
      <c r="D91" s="22" t="inlineStr">
        <is>
          <t>Low</t>
        </is>
      </c>
      <c r="E91" s="17" t="inlineStr">
        <is>
          <t>Functional</t>
        </is>
      </c>
      <c r="F91" s="17" t="inlineStr">
        <is>
          <t>Logged in as admin.</t>
        </is>
      </c>
      <c r="G91" s="17" t="inlineStr">
        <is>
          <t>1. Click each summary card (Total Active/Critical/Out of Stock/Near Expiry).
2. Click the quick actions (Check Stock Levels, Create Purchase Order, Expiring Batches) and 'View All Alerts'.</t>
        </is>
      </c>
      <c r="H91" s="17" t="inlineStr">
        <is>
          <t>N/A</t>
        </is>
      </c>
      <c r="I91" s="17" t="inlineStr">
        <is>
          <t>Summary cards route to /inventory/alerts with query params (?status=active, ?severity=critical, ?type=out_of_stock, ?type=near_expiry). NOTE: AlertsList does not read these query params (it manages its own filter state), so the filter may not pre-apply - log as a minor defect. Quick actions route to /inventory/stock, /inventory/purchase-orders/new and /inventory/batches?expiring=soon (the last has no matching route).</t>
        </is>
      </c>
      <c r="J91" s="17" t="inlineStr">
        <is>
          <t>N/A</t>
        </is>
      </c>
      <c r="K91" s="14" t="inlineStr"/>
      <c r="L91" s="15" t="inlineStr">
        <is>
          <t>Not Executed</t>
        </is>
      </c>
      <c r="M91" s="15" t="inlineStr"/>
      <c r="N91" s="15" t="inlineStr"/>
      <c r="O91" s="15" t="inlineStr"/>
      <c r="P91" s="14" t="inlineStr"/>
    </row>
    <row r="92" ht="45" customHeight="1">
      <c r="A92" s="16" t="inlineStr">
        <is>
          <t>INV-091</t>
        </is>
      </c>
      <c r="B92" s="17" t="inlineStr">
        <is>
          <t>Alerts</t>
        </is>
      </c>
      <c r="C92" s="17" t="inlineStr">
        <is>
          <t>Acknowledge failure handled gracefully</t>
        </is>
      </c>
      <c r="D92" s="22" t="inlineStr">
        <is>
          <t>Low</t>
        </is>
      </c>
      <c r="E92" s="17" t="inlineStr">
        <is>
          <t>Negative</t>
        </is>
      </c>
      <c r="F92" s="17" t="inlineStr">
        <is>
          <t>Ability to force a 404/500 on acknowledge (e.g. stale alert id).</t>
        </is>
      </c>
      <c r="G92" s="17" t="inlineStr">
        <is>
          <t>1. Force an acknowledge call to fail.
2. Observe behaviour.</t>
        </is>
      </c>
      <c r="H92" s="17" t="inlineStr">
        <is>
          <t>Invalid alert id</t>
        </is>
      </c>
      <c r="I92" s="17" t="inlineStr">
        <is>
          <t>Backend returns 404 if not found; UI shows alert 'Failed to acknowledge alert' and the list is unchanged.</t>
        </is>
      </c>
      <c r="J92" s="17" t="inlineStr">
        <is>
          <t>POST /api/inventory/alerts/{bad-id}/acknowledge -&gt; 404</t>
        </is>
      </c>
      <c r="K92" s="14" t="inlineStr"/>
      <c r="L92" s="15" t="inlineStr">
        <is>
          <t>Not Executed</t>
        </is>
      </c>
      <c r="M92" s="15" t="inlineStr"/>
      <c r="N92" s="15" t="inlineStr"/>
      <c r="O92" s="15" t="inlineStr"/>
      <c r="P92" s="14" t="inlineStr"/>
    </row>
    <row r="93" ht="75" customHeight="1">
      <c r="A93" s="11" t="inlineStr">
        <is>
          <t>INV-092</t>
        </is>
      </c>
      <c r="B93" s="12" t="inlineStr">
        <is>
          <t>Provider Stock</t>
        </is>
      </c>
      <c r="C93" s="12" t="inlineStr">
        <is>
          <t>Provider Stock page lists provider locations with summary</t>
        </is>
      </c>
      <c r="D93" s="13" t="inlineStr">
        <is>
          <t>High</t>
        </is>
      </c>
      <c r="E93" s="12" t="inlineStr">
        <is>
          <t>Functional</t>
        </is>
      </c>
      <c r="F93" s="12" t="inlineStr">
        <is>
          <t>At least one provider stock location set up; logged in as admin.</t>
        </is>
      </c>
      <c r="G93" s="12" t="inlineStr">
        <is>
          <t>1. Navigate to /inventory/provider-stock.
2. Verify each ProviderCard shows provider name, total items and total value (Rs. en-IN), plus Assign (+) and Return (-) actions and an expand chevron.</t>
        </is>
      </c>
      <c r="H93" s="12" t="inlineStr">
        <is>
          <t>N/A</t>
        </is>
      </c>
      <c r="I93" s="12" t="inlineStr">
        <is>
          <t>Providers load from GET /provider-stock/locations; cards render with summary; Refresh and 'Setup New Provider' buttons present in the header.</t>
        </is>
      </c>
      <c r="J93" s="12" t="inlineStr">
        <is>
          <t>GET /api/inventory/provider-stock/locations</t>
        </is>
      </c>
      <c r="K93" s="14" t="inlineStr"/>
      <c r="L93" s="15" t="inlineStr">
        <is>
          <t>Not Executed</t>
        </is>
      </c>
      <c r="M93" s="15" t="inlineStr"/>
      <c r="N93" s="15" t="inlineStr"/>
      <c r="O93" s="15" t="inlineStr"/>
      <c r="P93" s="14" t="inlineStr"/>
    </row>
    <row r="94" ht="45" customHeight="1">
      <c r="A94" s="11" t="inlineStr">
        <is>
          <t>INV-093</t>
        </is>
      </c>
      <c r="B94" s="12" t="inlineStr">
        <is>
          <t>Provider Stock</t>
        </is>
      </c>
      <c r="C94" s="12" t="inlineStr">
        <is>
          <t>Provider Stock empty state</t>
        </is>
      </c>
      <c r="D94" s="20" t="inlineStr">
        <is>
          <t>Low</t>
        </is>
      </c>
      <c r="E94" s="12" t="inlineStr">
        <is>
          <t>UI/UX</t>
        </is>
      </c>
      <c r="F94" s="12" t="inlineStr">
        <is>
          <t>No provider stock locations.</t>
        </is>
      </c>
      <c r="G94" s="12" t="inlineStr">
        <is>
          <t>1. Open /inventory/provider-stock with no providers configured.</t>
        </is>
      </c>
      <c r="H94" s="12" t="inlineStr">
        <is>
          <t>N/A</t>
        </is>
      </c>
      <c r="I94" s="12" t="inlineStr">
        <is>
          <t>Empty card with Users icon, 'No Provider Stock Locations', and a 'Setup First Provider' button.</t>
        </is>
      </c>
      <c r="J94" s="12" t="inlineStr">
        <is>
          <t>GET /api/inventory/provider-stock/locations</t>
        </is>
      </c>
      <c r="K94" s="14" t="inlineStr"/>
      <c r="L94" s="15" t="inlineStr">
        <is>
          <t>Not Executed</t>
        </is>
      </c>
      <c r="M94" s="15" t="inlineStr"/>
      <c r="N94" s="15" t="inlineStr"/>
      <c r="O94" s="15" t="inlineStr"/>
      <c r="P94" s="14" t="inlineStr"/>
    </row>
    <row r="95" ht="60" customHeight="1">
      <c r="A95" s="11" t="inlineStr">
        <is>
          <t>INV-094</t>
        </is>
      </c>
      <c r="B95" s="12" t="inlineStr">
        <is>
          <t>Provider Stock</t>
        </is>
      </c>
      <c r="C95" s="12" t="inlineStr">
        <is>
          <t>Expand provider to view assigned stock</t>
        </is>
      </c>
      <c r="D95" s="19" t="inlineStr">
        <is>
          <t>Medium</t>
        </is>
      </c>
      <c r="E95" s="12" t="inlineStr">
        <is>
          <t>Functional</t>
        </is>
      </c>
      <c r="F95" s="12" t="inlineStr">
        <is>
          <t>A provider with assigned stock.</t>
        </is>
      </c>
      <c r="G95" s="12" t="inlineStr">
        <is>
          <t>1. Click a ProviderCard to expand it.
2. Verify the stock table (Medicine, Qty, Value, Batch, Expiry) or a 'No stock assigned yet' empty state.</t>
        </is>
      </c>
      <c r="H95" s="12" t="inlineStr">
        <is>
          <t>N/A</t>
        </is>
      </c>
      <c r="I95" s="12" t="inlineStr">
        <is>
          <t>On first expand, GET /provider-stock/{provider_id} loads the items; table shows them; subsequent collapse/expand does not re-fetch.</t>
        </is>
      </c>
      <c r="J95" s="12" t="inlineStr">
        <is>
          <t>GET /api/inventory/provider-stock/{provider_id}</t>
        </is>
      </c>
      <c r="K95" s="14" t="inlineStr"/>
      <c r="L95" s="15" t="inlineStr">
        <is>
          <t>Not Executed</t>
        </is>
      </c>
      <c r="M95" s="15" t="inlineStr"/>
      <c r="N95" s="15" t="inlineStr"/>
      <c r="O95" s="15" t="inlineStr"/>
      <c r="P95" s="14" t="inlineStr"/>
    </row>
    <row r="96" ht="60" customHeight="1">
      <c r="A96" s="11" t="inlineStr">
        <is>
          <t>INV-095</t>
        </is>
      </c>
      <c r="B96" s="12" t="inlineStr">
        <is>
          <t>Provider Stock</t>
        </is>
      </c>
      <c r="C96" s="12" t="inlineStr">
        <is>
          <t>Setup New Provider</t>
        </is>
      </c>
      <c r="D96" s="19" t="inlineStr">
        <is>
          <t>Medium</t>
        </is>
      </c>
      <c r="E96" s="12" t="inlineStr">
        <is>
          <t>Functional</t>
        </is>
      </c>
      <c r="F96" s="12" t="inlineStr">
        <is>
          <t>A valid provider UUID with no stock location yet; write permission.</t>
        </is>
      </c>
      <c r="G96" s="12" t="inlineStr">
        <is>
          <t>1. Click 'Setup New Provider'.
2. Enter the provider ID.
3. Click Setup.</t>
        </is>
      </c>
      <c r="H96" s="12" t="inlineStr">
        <is>
          <t>Provider ID: a valid provider UUID</t>
        </is>
      </c>
      <c r="I96" s="12" t="inlineStr">
        <is>
          <t>POST /provider-stock/{id}/setup returns 200 with the new location; modal closes; the provider list refreshes and includes the new provider.</t>
        </is>
      </c>
      <c r="J96" s="12" t="inlineStr">
        <is>
          <t>POST /api/inventory/provider-stock/{provider_id}/setup</t>
        </is>
      </c>
      <c r="K96" s="14" t="inlineStr"/>
      <c r="L96" s="15" t="inlineStr">
        <is>
          <t>Not Executed</t>
        </is>
      </c>
      <c r="M96" s="15" t="inlineStr"/>
      <c r="N96" s="15" t="inlineStr"/>
      <c r="O96" s="15" t="inlineStr"/>
      <c r="P96" s="14" t="inlineStr"/>
    </row>
    <row r="97" ht="45" customHeight="1">
      <c r="A97" s="11" t="inlineStr">
        <is>
          <t>INV-096</t>
        </is>
      </c>
      <c r="B97" s="12" t="inlineStr">
        <is>
          <t>Provider Stock</t>
        </is>
      </c>
      <c r="C97" s="12" t="inlineStr">
        <is>
          <t>Setup New Provider - invalid id error</t>
        </is>
      </c>
      <c r="D97" s="19" t="inlineStr">
        <is>
          <t>Medium</t>
        </is>
      </c>
      <c r="E97" s="12" t="inlineStr">
        <is>
          <t>Negative</t>
        </is>
      </c>
      <c r="F97" s="12" t="inlineStr">
        <is>
          <t>Setup modal open.</t>
        </is>
      </c>
      <c r="G97" s="12" t="inlineStr">
        <is>
          <t>1. Enter an invalid/non-existent provider id.
2. Click Setup.</t>
        </is>
      </c>
      <c r="H97" s="12" t="inlineStr">
        <is>
          <t>Provider ID: not-a-real-id</t>
        </is>
      </c>
      <c r="I97" s="12" t="inlineStr">
        <is>
          <t>Backend returns 400 with {error:...}; UI shows alert with the server error message; modal stays open; no provider added.</t>
        </is>
      </c>
      <c r="J97" s="12" t="inlineStr">
        <is>
          <t>POST /api/inventory/provider-stock/{bad-id}/setup -&gt; 400</t>
        </is>
      </c>
      <c r="K97" s="14" t="inlineStr"/>
      <c r="L97" s="15" t="inlineStr">
        <is>
          <t>Not Executed</t>
        </is>
      </c>
      <c r="M97" s="15" t="inlineStr"/>
      <c r="N97" s="15" t="inlineStr"/>
      <c r="O97" s="15" t="inlineStr"/>
      <c r="P97" s="14" t="inlineStr"/>
    </row>
    <row r="98" ht="135" customHeight="1">
      <c r="A98" s="11" t="inlineStr">
        <is>
          <t>INV-097</t>
        </is>
      </c>
      <c r="B98" s="12" t="inlineStr">
        <is>
          <t>Provider Stock</t>
        </is>
      </c>
      <c r="C98" s="12" t="inlineStr">
        <is>
          <t>Assign stock to provider</t>
        </is>
      </c>
      <c r="D98" s="13" t="inlineStr">
        <is>
          <t>High</t>
        </is>
      </c>
      <c r="E98" s="12" t="inlineStr">
        <is>
          <t>Functional</t>
        </is>
      </c>
      <c r="F98" s="12" t="inlineStr">
        <is>
          <t>A provider exists; source location has stock; medicines searchable.</t>
        </is>
      </c>
      <c r="G98" s="12" t="inlineStr">
        <is>
          <t>1. On a ProviderCard click the + (Assign Stock) action.
2. Search and pick a medicine, choose a Source Location, enter a quantity.
3. Click 'Assign Stock'.</t>
        </is>
      </c>
      <c r="H98" s="12" t="inlineStr">
        <is>
          <t>Medicine Paracetamol, Source 'Central Store', Qty 20</t>
        </is>
      </c>
      <c r="I98" s="12" t="inlineStr">
        <is>
          <t>On success the modal closes and the provider card/stock refreshes. DEFECT-WATCH: the modal posts {medicine_id, quantity, source_location_id} but the backend assign route reads from_location_id (data['from_location_id']) -&gt; a KeyError yields 400 with the missing-key error. Verify whether assignment actually persists; a 400 indicates a field-name mismatch defect.</t>
        </is>
      </c>
      <c r="J98" s="12" t="inlineStr">
        <is>
          <t>POST /api/inventory/provider-stock/{provider_id}/assign</t>
        </is>
      </c>
      <c r="K98" s="14" t="inlineStr"/>
      <c r="L98" s="15" t="inlineStr">
        <is>
          <t>Not Executed</t>
        </is>
      </c>
      <c r="M98" s="15" t="inlineStr"/>
      <c r="N98" s="15" t="inlineStr"/>
      <c r="O98" s="15" t="inlineStr"/>
      <c r="P98" s="14" t="inlineStr"/>
    </row>
    <row r="99" ht="75" customHeight="1">
      <c r="A99" s="11" t="inlineStr">
        <is>
          <t>INV-098</t>
        </is>
      </c>
      <c r="B99" s="12" t="inlineStr">
        <is>
          <t>Provider Stock</t>
        </is>
      </c>
      <c r="C99" s="12" t="inlineStr">
        <is>
          <t>Assign stock - location list excludes provider bags; medicine search min length</t>
        </is>
      </c>
      <c r="D99" s="20" t="inlineStr">
        <is>
          <t>Low</t>
        </is>
      </c>
      <c r="E99" s="12" t="inlineStr">
        <is>
          <t>Functional</t>
        </is>
      </c>
      <c r="F99" s="12" t="inlineStr">
        <is>
          <t>Assign modal open.</t>
        </is>
      </c>
      <c r="G99" s="12" t="inlineStr">
        <is>
          <t>1. Open the Source Location dropdown and confirm provider_bag-type locations are excluded.
2. Type 1 char in medicine search (no results), then &gt;=2 chars (results appear after ~300ms debounce).</t>
        </is>
      </c>
      <c r="H99" s="12" t="inlineStr">
        <is>
          <t>Search: 'Pa' (&gt;=2 chars)</t>
        </is>
      </c>
      <c r="I99" s="12" t="inlineStr">
        <is>
          <t>Locations filtered to exclude location_type 'provider_bag'; medicine search only runs at length &gt;= 2 with a 300ms debounce; Assign button disabled until medicine, quantity and source location are all set.</t>
        </is>
      </c>
      <c r="J99" s="12" t="inlineStr">
        <is>
          <t>GET /api/inventory/locations, GET /api/inventory/medicines/search?q=Pa&amp;limit=10</t>
        </is>
      </c>
      <c r="K99" s="14" t="inlineStr"/>
      <c r="L99" s="15" t="inlineStr">
        <is>
          <t>Not Executed</t>
        </is>
      </c>
      <c r="M99" s="15" t="inlineStr"/>
      <c r="N99" s="15" t="inlineStr"/>
      <c r="O99" s="15" t="inlineStr"/>
      <c r="P99" s="14" t="inlineStr"/>
    </row>
    <row r="100" ht="135" customHeight="1">
      <c r="A100" s="11" t="inlineStr">
        <is>
          <t>INV-099</t>
        </is>
      </c>
      <c r="B100" s="12" t="inlineStr">
        <is>
          <t>Provider Stock</t>
        </is>
      </c>
      <c r="C100" s="12" t="inlineStr">
        <is>
          <t>Return stock from provider with max-quantity guard</t>
        </is>
      </c>
      <c r="D100" s="13" t="inlineStr">
        <is>
          <t>High</t>
        </is>
      </c>
      <c r="E100" s="12" t="inlineStr">
        <is>
          <t>Validation</t>
        </is>
      </c>
      <c r="F100" s="12" t="inlineStr">
        <is>
          <t>A provider with assigned stock.</t>
        </is>
      </c>
      <c r="G100" s="12" t="inlineStr">
        <is>
          <t>1. On a ProviderCard click the - (Return Stock) action.
2. Select a medicine from the provider's stock, choose a Destination Location.
3. Enter a quantity greater than available; then a valid quantity; click 'Return Stock'.</t>
        </is>
      </c>
      <c r="H100" s="12" t="inlineStr">
        <is>
          <t>Provider stock qty 10; try 50 then 8</t>
        </is>
      </c>
      <c r="I100" s="12" t="inlineStr">
        <is>
          <t>Entering more than available shows 'Cannot exceed available quantity (10)' and disables the Return button. A valid return submits. DEFECT-WATCH: the modal posts {medicine_id, quantity, destination_location_id} but the backend return route reads to_location_id -&gt; a 400 KeyError indicates a field-name mismatch defect; verify return actually persists.</t>
        </is>
      </c>
      <c r="J100" s="12" t="inlineStr">
        <is>
          <t>POST /api/inventory/provider-stock/{provider_id}/return, GET /api/inventory/provider-stock/{provider_id}</t>
        </is>
      </c>
      <c r="K100" s="14" t="inlineStr"/>
      <c r="L100" s="15" t="inlineStr">
        <is>
          <t>Not Executed</t>
        </is>
      </c>
      <c r="M100" s="15" t="inlineStr"/>
      <c r="N100" s="15" t="inlineStr"/>
      <c r="O100" s="15" t="inlineStr"/>
      <c r="P100" s="14" t="inlineStr"/>
    </row>
    <row r="101" ht="75" customHeight="1">
      <c r="A101" s="11" t="inlineStr">
        <is>
          <t>INV-100</t>
        </is>
      </c>
      <c r="B101" s="12" t="inlineStr">
        <is>
          <t>Provider Stock</t>
        </is>
      </c>
      <c r="C101" s="12" t="inlineStr">
        <is>
          <t>Provider stock transfer reflected in both source and provider (data integrity)</t>
        </is>
      </c>
      <c r="D101" s="13" t="inlineStr">
        <is>
          <t>High</t>
        </is>
      </c>
      <c r="E101" s="12" t="inlineStr">
        <is>
          <t>Data Integrity</t>
        </is>
      </c>
      <c r="F101" s="12" t="inlineStr">
        <is>
          <t>Assign succeeds (or use the working path); note source-location stock before.</t>
        </is>
      </c>
      <c r="G101" s="12" t="inlineStr">
        <is>
          <t>1. Record the source location's current_stock for a medicine (via /inventory/stock).
2. Assign N units to a provider.
3. Re-check the source location stock and the provider's stock.</t>
        </is>
      </c>
      <c r="H101" s="12" t="inlineStr">
        <is>
          <t>Assign 20 units of Paracetamol</t>
        </is>
      </c>
      <c r="I101" s="12" t="inlineStr">
        <is>
          <t>Source location current_stock decreases by 20; provider stock increases by 20; a return reverses it. Totals must reconcile (no stock created or lost).</t>
        </is>
      </c>
      <c r="J101" s="12" t="inlineStr">
        <is>
          <t>GET /api/inventory/stock, POST /api/inventory/provider-stock/{id}/assign, GET /api/inventory/provider-stock/{id}</t>
        </is>
      </c>
      <c r="K101" s="14" t="inlineStr"/>
      <c r="L101" s="15" t="inlineStr">
        <is>
          <t>Not Executed</t>
        </is>
      </c>
      <c r="M101" s="15" t="inlineStr"/>
      <c r="N101" s="15" t="inlineStr"/>
      <c r="O101" s="15" t="inlineStr"/>
      <c r="P101" s="14" t="inlineStr"/>
    </row>
    <row r="102" ht="90" customHeight="1">
      <c r="A102" s="16" t="inlineStr">
        <is>
          <t>INV-101</t>
        </is>
      </c>
      <c r="B102" s="17" t="inlineStr">
        <is>
          <t>Data Integrity</t>
        </is>
      </c>
      <c r="C102" s="17" t="inlineStr">
        <is>
          <t>Receiving a PO increases stock on hand</t>
        </is>
      </c>
      <c r="D102" s="21" t="inlineStr">
        <is>
          <t>High</t>
        </is>
      </c>
      <c r="E102" s="17" t="inlineStr">
        <is>
          <t>Data Integrity</t>
        </is>
      </c>
      <c r="F102" s="17" t="inlineStr">
        <is>
          <t>An approved PO; note the delivery location's stock for the PO medicines.</t>
        </is>
      </c>
      <c r="G102" s="17" t="inlineStr">
        <is>
          <t>1. Record current_stock for a PO line medicine at the delivery location.
2. Receive the PO fully with valid batch details.
3. Re-check the stock at that location and the new batch.</t>
        </is>
      </c>
      <c r="H102" s="17" t="inlineStr">
        <is>
          <t>Receive 100 units, Batch BATCH-PCM-2401</t>
        </is>
      </c>
      <c r="I102" s="17" t="inlineStr">
        <is>
          <t>After a successful receipt, stock at the location increases by the received quantity, a new batch record exists with the entered batch number/expiry, and the PO status reflects received/partial_received.</t>
        </is>
      </c>
      <c r="J102" s="17" t="inlineStr">
        <is>
          <t>POST /api/inventory/purchase-orders/{id}/receive, GET /api/inventory/stock</t>
        </is>
      </c>
      <c r="K102" s="14" t="inlineStr"/>
      <c r="L102" s="15" t="inlineStr">
        <is>
          <t>Not Executed</t>
        </is>
      </c>
      <c r="M102" s="15" t="inlineStr"/>
      <c r="N102" s="15" t="inlineStr"/>
      <c r="O102" s="15" t="inlineStr"/>
      <c r="P102" s="14" t="inlineStr"/>
    </row>
    <row r="103" ht="105" customHeight="1">
      <c r="A103" s="16" t="inlineStr">
        <is>
          <t>INV-102</t>
        </is>
      </c>
      <c r="B103" s="17" t="inlineStr">
        <is>
          <t>Data Integrity</t>
        </is>
      </c>
      <c r="C103" s="17" t="inlineStr">
        <is>
          <t>Dispensing reduces stock on hand and batch quantity</t>
        </is>
      </c>
      <c r="D103" s="21" t="inlineStr">
        <is>
          <t>High</t>
        </is>
      </c>
      <c r="E103" s="17" t="inlineStr">
        <is>
          <t>Data Integrity</t>
        </is>
      </c>
      <c r="F103" s="17" t="inlineStr">
        <is>
          <t>A medicine with available batch stock; dispense permission.</t>
        </is>
      </c>
      <c r="G103" s="17" t="inlineStr">
        <is>
          <t>1. Record the medicine's available stock and the selected batch's available_quantity.
2. Dispense a known quantity from that batch.
3. Re-check stock and batch available_quantity.</t>
        </is>
      </c>
      <c r="H103" s="17" t="inlineStr">
        <is>
          <t>Dispense 5 units from BATCH-PCM-2401</t>
        </is>
      </c>
      <c r="I103" s="17" t="inlineStr">
        <is>
          <t>On a successful dispense, the location stock and the batch available_quantity each drop by the dispensed quantity; a dispensing record is created. (If dispense fails due to the payload mismatch in INV-072, log that defect and verify no partial stock change occurred.)</t>
        </is>
      </c>
      <c r="J103" s="17" t="inlineStr">
        <is>
          <t>POST /api/inventory/dispensing/dispense, GET /api/inventory/stock, GET /api/inventory/batches</t>
        </is>
      </c>
      <c r="K103" s="14" t="inlineStr"/>
      <c r="L103" s="15" t="inlineStr">
        <is>
          <t>Not Executed</t>
        </is>
      </c>
      <c r="M103" s="15" t="inlineStr"/>
      <c r="N103" s="15" t="inlineStr"/>
      <c r="O103" s="15" t="inlineStr"/>
      <c r="P103" s="14" t="inlineStr"/>
    </row>
    <row r="104" ht="90" customHeight="1">
      <c r="A104" s="16" t="inlineStr">
        <is>
          <t>INV-103</t>
        </is>
      </c>
      <c r="B104" s="17" t="inlineStr">
        <is>
          <t>Data Integrity</t>
        </is>
      </c>
      <c r="C104" s="17" t="inlineStr">
        <is>
          <t>Returning dispensed medicine restores stock</t>
        </is>
      </c>
      <c r="D104" s="21" t="inlineStr">
        <is>
          <t>High</t>
        </is>
      </c>
      <c r="E104" s="17" t="inlineStr">
        <is>
          <t>Data Integrity</t>
        </is>
      </c>
      <c r="F104" s="17" t="inlineStr">
        <is>
          <t>A dispensing record with a returnable item.</t>
        </is>
      </c>
      <c r="G104" s="17" t="inlineStr">
        <is>
          <t>1. Note the batch/location stock for the dispensed medicine.
2. Return part of the dispensed quantity with a reason.
3. Re-check stock and the record's returned quantity.</t>
        </is>
      </c>
      <c r="H104" s="17" t="inlineStr">
        <is>
          <t>Return 2 of 5 dispensed</t>
        </is>
      </c>
      <c r="I104" s="17" t="inlineStr">
        <is>
          <t>Returned quantity is recorded on the item, and stock for that batch/location increases by the returned amount (return-to-stock), preserving totals.</t>
        </is>
      </c>
      <c r="J104" s="17" t="inlineStr">
        <is>
          <t>POST /api/inventory/dispensing/{id}/return, GET /api/inventory/stock</t>
        </is>
      </c>
      <c r="K104" s="14" t="inlineStr"/>
      <c r="L104" s="15" t="inlineStr">
        <is>
          <t>Not Executed</t>
        </is>
      </c>
      <c r="M104" s="15" t="inlineStr"/>
      <c r="N104" s="15" t="inlineStr"/>
      <c r="O104" s="15" t="inlineStr"/>
      <c r="P104" s="14" t="inlineStr"/>
    </row>
    <row r="105" ht="75" customHeight="1">
      <c r="A105" s="16" t="inlineStr">
        <is>
          <t>INV-104</t>
        </is>
      </c>
      <c r="B105" s="17" t="inlineStr">
        <is>
          <t>Data Integrity</t>
        </is>
      </c>
      <c r="C105" s="17" t="inlineStr">
        <is>
          <t>Generate alerts surfaces low-stock and expiry conditions</t>
        </is>
      </c>
      <c r="D105" s="18" t="inlineStr">
        <is>
          <t>Medium</t>
        </is>
      </c>
      <c r="E105" s="17" t="inlineStr">
        <is>
          <t>Data Integrity</t>
        </is>
      </c>
      <c r="F105" s="17" t="inlineStr">
        <is>
          <t>Stock at/below reorder level and batches near/at expiry; admin (manage).</t>
        </is>
      </c>
      <c r="G105" s="17" t="inlineStr">
        <is>
          <t>1. As admin call POST /inventory/alerts/generate (e.g. via DevTools or any wired control).
2. Open /inventory/alerts and the Alerts Dashboard.</t>
        </is>
      </c>
      <c r="H105" s="17" t="inlineStr">
        <is>
          <t>N/A</t>
        </is>
      </c>
      <c r="I105" s="17" t="inlineStr">
        <is>
          <t>Alert generation returns 200 with results; low_stock/out_of_stock alerts appear for items at/below thresholds and near_expiry/expired alerts for the relevant batches; dashboard breakdown counts update.</t>
        </is>
      </c>
      <c r="J105" s="17" t="inlineStr">
        <is>
          <t>POST /api/inventory/alerts/generate, GET /api/inventory/alerts</t>
        </is>
      </c>
      <c r="K105" s="14" t="inlineStr"/>
      <c r="L105" s="15" t="inlineStr">
        <is>
          <t>Not Executed</t>
        </is>
      </c>
      <c r="M105" s="15" t="inlineStr"/>
      <c r="N105" s="15" t="inlineStr"/>
      <c r="O105" s="15" t="inlineStr"/>
      <c r="P105" s="14" t="inlineStr"/>
    </row>
    <row r="106" ht="90" customHeight="1">
      <c r="A106" s="11" t="inlineStr">
        <is>
          <t>INV-105</t>
        </is>
      </c>
      <c r="B106" s="12" t="inlineStr">
        <is>
          <t>API</t>
        </is>
      </c>
      <c r="C106" s="12" t="inlineStr">
        <is>
          <t>check-availability requires medicine_id, location_id and positive quantity</t>
        </is>
      </c>
      <c r="D106" s="19" t="inlineStr">
        <is>
          <t>Medium</t>
        </is>
      </c>
      <c r="E106" s="12" t="inlineStr">
        <is>
          <t>API</t>
        </is>
      </c>
      <c r="F106" s="12" t="inlineStr">
        <is>
          <t>Valid token; DevTools or API tool.</t>
        </is>
      </c>
      <c r="G106" s="12" t="inlineStr">
        <is>
          <t>1. Call GET /inventory/dispensing/check-availability with no params.
2. Call again with medicine_id+location_id but quantity=0 or negative.
3. Call with all valid params and a positive quantity.</t>
        </is>
      </c>
      <c r="H106" s="12" t="inlineStr">
        <is>
          <t>quantity = 0 then 10</t>
        </is>
      </c>
      <c r="I106" s="12" t="inlineStr">
        <is>
          <t>Missing medicine_id/location_id -&gt; 400 'medicine_id and location_id are required'; quantity &lt;= 0 or missing -&gt; 400 'Valid quantity is required'; valid request returns the availability result JSON.</t>
        </is>
      </c>
      <c r="J106" s="12" t="inlineStr">
        <is>
          <t>GET /api/inventory/dispensing/check-availability</t>
        </is>
      </c>
      <c r="K106" s="14" t="inlineStr"/>
      <c r="L106" s="15" t="inlineStr">
        <is>
          <t>Not Executed</t>
        </is>
      </c>
      <c r="M106" s="15" t="inlineStr"/>
      <c r="N106" s="15" t="inlineStr"/>
      <c r="O106" s="15" t="inlineStr"/>
      <c r="P106" s="14" t="inlineStr"/>
    </row>
    <row r="107" ht="75" customHeight="1">
      <c r="A107" s="11" t="inlineStr">
        <is>
          <t>INV-106</t>
        </is>
      </c>
      <c r="B107" s="12" t="inlineStr">
        <is>
          <t>API</t>
        </is>
      </c>
      <c r="C107" s="12" t="inlineStr">
        <is>
          <t>Manual stock update requires manage permission and valid body</t>
        </is>
      </c>
      <c r="D107" s="19" t="inlineStr">
        <is>
          <t>Medium</t>
        </is>
      </c>
      <c r="E107" s="12" t="inlineStr">
        <is>
          <t>API</t>
        </is>
      </c>
      <c r="F107" s="12" t="inlineStr">
        <is>
          <t>admin (manage) and a data_entry user.</t>
        </is>
      </c>
      <c r="G107" s="12" t="inlineStr">
        <is>
          <t>1. As data_entry POST /inventory/stock/update with a valid body.
2. As admin POST with a missing medicine_id/location_id.
3. As admin POST a valid body.</t>
        </is>
      </c>
      <c r="H107" s="12" t="inlineStr">
        <is>
          <t>{medicine_id, location_id, quantity:50}</t>
        </is>
      </c>
      <c r="I107" s="12" t="inlineStr">
        <is>
          <t>data_entry -&gt; 403 'Required: manage'; missing fields -&gt; 422 validation; valid -&gt; 200 'Stock updated successfully' with the stock object. Negative quantity -&gt; 422 (Range min 0).</t>
        </is>
      </c>
      <c r="J107" s="12" t="inlineStr">
        <is>
          <t>POST /api/inventory/stock/update</t>
        </is>
      </c>
      <c r="K107" s="14" t="inlineStr"/>
      <c r="L107" s="15" t="inlineStr">
        <is>
          <t>Not Executed</t>
        </is>
      </c>
      <c r="M107" s="15" t="inlineStr"/>
      <c r="N107" s="15" t="inlineStr"/>
      <c r="O107" s="15" t="inlineStr"/>
      <c r="P107" s="14" t="inlineStr"/>
    </row>
    <row r="108" ht="75" customHeight="1">
      <c r="A108" s="11" t="inlineStr">
        <is>
          <t>INV-107</t>
        </is>
      </c>
      <c r="B108" s="12" t="inlineStr">
        <is>
          <t>API</t>
        </is>
      </c>
      <c r="C108" s="12" t="inlineStr">
        <is>
          <t>Stock transfer between locations</t>
        </is>
      </c>
      <c r="D108" s="19" t="inlineStr">
        <is>
          <t>Medium</t>
        </is>
      </c>
      <c r="E108" s="12" t="inlineStr">
        <is>
          <t>API</t>
        </is>
      </c>
      <c r="F108" s="12" t="inlineStr">
        <is>
          <t>Two locations with stock; write permission.</t>
        </is>
      </c>
      <c r="G108" s="12" t="inlineStr">
        <is>
          <t>1. POST /inventory/stock/transfer with valid from/to/medicine/quantity.
2. POST with a quantity exceeding source stock.</t>
        </is>
      </c>
      <c r="H108" s="12" t="inlineStr">
        <is>
          <t>Transfer 10 valid; then 99999 (over stock)</t>
        </is>
      </c>
      <c r="I108" s="12" t="inlineStr">
        <is>
          <t>Valid transfer -&gt; 201 'Stock transferred successfully' with a movement; source decreases and destination increases. Over-stock transfer -&gt; 400 with the service ValueError message; no change.</t>
        </is>
      </c>
      <c r="J108" s="12" t="inlineStr">
        <is>
          <t>POST /api/inventory/stock/transfer</t>
        </is>
      </c>
      <c r="K108" s="14" t="inlineStr"/>
      <c r="L108" s="15" t="inlineStr">
        <is>
          <t>Not Executed</t>
        </is>
      </c>
      <c r="M108" s="15" t="inlineStr"/>
      <c r="N108" s="15" t="inlineStr"/>
      <c r="O108" s="15" t="inlineStr"/>
      <c r="P108" s="14" t="inlineStr"/>
    </row>
    <row r="109" ht="60" customHeight="1">
      <c r="A109" s="11" t="inlineStr">
        <is>
          <t>INV-108</t>
        </is>
      </c>
      <c r="B109" s="12" t="inlineStr">
        <is>
          <t>API</t>
        </is>
      </c>
      <c r="C109" s="12" t="inlineStr">
        <is>
          <t>per_page cap enforced on list endpoints</t>
        </is>
      </c>
      <c r="D109" s="20" t="inlineStr">
        <is>
          <t>Low</t>
        </is>
      </c>
      <c r="E109" s="12" t="inlineStr">
        <is>
          <t>API</t>
        </is>
      </c>
      <c r="F109" s="12" t="inlineStr">
        <is>
          <t>Valid token.</t>
        </is>
      </c>
      <c r="G109" s="12" t="inlineStr">
        <is>
          <t>1. Call GET /inventory/medicines?per_page=1000.
2. Inspect the returned per_page.</t>
        </is>
      </c>
      <c r="H109" s="12" t="inlineStr">
        <is>
          <t>per_page = 1000</t>
        </is>
      </c>
      <c r="I109" s="12" t="inlineStr">
        <is>
          <t>Backend caps per_page at 200 (min(per_page,200)); response per_page &lt;= 200. Same cap applies to suppliers/purchase-orders/dispensing/movements/requisitions.</t>
        </is>
      </c>
      <c r="J109" s="12" t="inlineStr">
        <is>
          <t>GET /api/inventory/medicines?per_page=1000</t>
        </is>
      </c>
      <c r="K109" s="14" t="inlineStr"/>
      <c r="L109" s="15" t="inlineStr">
        <is>
          <t>Not Executed</t>
        </is>
      </c>
      <c r="M109" s="15" t="inlineStr"/>
      <c r="N109" s="15" t="inlineStr"/>
      <c r="O109" s="15" t="inlineStr"/>
      <c r="P109" s="14" t="inlineStr"/>
    </row>
    <row r="110" ht="75" customHeight="1">
      <c r="A110" s="16" t="inlineStr">
        <is>
          <t>INV-109</t>
        </is>
      </c>
      <c r="B110" s="17" t="inlineStr">
        <is>
          <t>Permission / Session</t>
        </is>
      </c>
      <c r="C110" s="17" t="inlineStr">
        <is>
          <t>Expired/invalid token triggers refresh then redirect to /login</t>
        </is>
      </c>
      <c r="D110" s="21" t="inlineStr">
        <is>
          <t>High</t>
        </is>
      </c>
      <c r="E110" s="17" t="inlineStr">
        <is>
          <t>Permission</t>
        </is>
      </c>
      <c r="F110" s="17" t="inlineStr">
        <is>
          <t>Logged in; ability to corrupt the token in localStorage.</t>
        </is>
      </c>
      <c r="G110" s="17" t="inlineStr">
        <is>
          <t>1. Open /inventory/medicines.
2. In DevTools set localStorage access_token to an invalid value and remove refresh_token.
3. Trigger a request (e.g. Refresh or change page).</t>
        </is>
      </c>
      <c r="H110" s="17" t="inlineStr">
        <is>
          <t>Invalid access_token, no refresh_token</t>
        </is>
      </c>
      <c r="I110" s="17" t="inlineStr">
        <is>
          <t>The first 401 attempts a token refresh; with no/invalid refresh_token the refresh fails, tokens+user are cleared from localStorage and the app redirects to /login.</t>
        </is>
      </c>
      <c r="J110" s="17" t="inlineStr">
        <is>
          <t>Any inventory GET -&gt; 401; POST /api/auth/refresh</t>
        </is>
      </c>
      <c r="K110" s="14" t="inlineStr"/>
      <c r="L110" s="15" t="inlineStr">
        <is>
          <t>Not Executed</t>
        </is>
      </c>
      <c r="M110" s="15" t="inlineStr"/>
      <c r="N110" s="15" t="inlineStr"/>
      <c r="O110" s="15" t="inlineStr"/>
      <c r="P110" s="14" t="inlineStr"/>
    </row>
    <row r="111" ht="60" customHeight="1">
      <c r="A111" s="16" t="inlineStr">
        <is>
          <t>INV-110</t>
        </is>
      </c>
      <c r="B111" s="17" t="inlineStr">
        <is>
          <t>Permission / Session</t>
        </is>
      </c>
      <c r="C111" s="17" t="inlineStr">
        <is>
          <t>Direct access to inventory routes without login redirects to login</t>
        </is>
      </c>
      <c r="D111" s="21" t="inlineStr">
        <is>
          <t>High</t>
        </is>
      </c>
      <c r="E111" s="17" t="inlineStr">
        <is>
          <t>Permission</t>
        </is>
      </c>
      <c r="F111" s="17" t="inlineStr">
        <is>
          <t>Not logged in (no token).</t>
        </is>
      </c>
      <c r="G111" s="17" t="inlineStr">
        <is>
          <t>1. In a fresh/incognito session navigate directly to /inventory, /inventory/dispense/new, /inventory/purchase-orders/new and /inventory/provider-stock.</t>
        </is>
      </c>
      <c r="H111" s="17" t="inlineStr">
        <is>
          <t>N/A</t>
        </is>
      </c>
      <c r="I111" s="17" t="inlineStr">
        <is>
          <t>All inventory routes are protected; an unauthenticated user is redirected to /login (no inventory data is rendered).</t>
        </is>
      </c>
      <c r="J111" s="17" t="inlineStr">
        <is>
          <t>N/A (route guard) / 401 on data calls</t>
        </is>
      </c>
      <c r="K111" s="14" t="inlineStr"/>
      <c r="L111" s="15" t="inlineStr">
        <is>
          <t>Not Executed</t>
        </is>
      </c>
      <c r="M111" s="15" t="inlineStr"/>
      <c r="N111" s="15" t="inlineStr"/>
      <c r="O111" s="15" t="inlineStr"/>
      <c r="P111" s="14" t="inlineStr"/>
    </row>
    <row r="112" ht="60" customHeight="1">
      <c r="A112" s="16" t="inlineStr">
        <is>
          <t>INV-111</t>
        </is>
      </c>
      <c r="B112" s="17" t="inlineStr">
        <is>
          <t>Permission / Session</t>
        </is>
      </c>
      <c r="C112" s="17" t="inlineStr">
        <is>
          <t>Token with deleted/unknown user returns 401 User not found</t>
        </is>
      </c>
      <c r="D112" s="22" t="inlineStr">
        <is>
          <t>Low</t>
        </is>
      </c>
      <c r="E112" s="17" t="inlineStr">
        <is>
          <t>Negative</t>
        </is>
      </c>
      <c r="F112" s="17" t="inlineStr">
        <is>
          <t>A technically valid JWT whose user id no longer exists (coordinate with backend).</t>
        </is>
      </c>
      <c r="G112" s="17" t="inlineStr">
        <is>
          <t>1. Use the orphaned token to call any inventory endpoint (e.g. GET /inventory/medicines).</t>
        </is>
      </c>
      <c r="H112" s="17" t="inlineStr">
        <is>
          <t>JWT for a non-existent user id</t>
        </is>
      </c>
      <c r="I112" s="17" t="inlineStr">
        <is>
          <t>Backend role_required returns 401 {'message':'User not found'}; the client treats it as a 401 and follows the refresh/redirect path.</t>
        </is>
      </c>
      <c r="J112" s="17" t="inlineStr">
        <is>
          <t>GET /api/inventory/medicines -&gt; 401</t>
        </is>
      </c>
      <c r="K112" s="14" t="inlineStr"/>
      <c r="L112" s="15" t="inlineStr">
        <is>
          <t>Not Executed</t>
        </is>
      </c>
      <c r="M112" s="15" t="inlineStr"/>
      <c r="N112" s="15" t="inlineStr"/>
      <c r="O112" s="15" t="inlineStr"/>
      <c r="P112" s="14" t="inlineStr"/>
    </row>
    <row r="113" ht="45" customHeight="1">
      <c r="A113" s="11" t="inlineStr">
        <is>
          <t>INV-112</t>
        </is>
      </c>
      <c r="B113" s="12" t="inlineStr">
        <is>
          <t>Medicines Master</t>
        </is>
      </c>
      <c r="C113" s="12" t="inlineStr">
        <is>
          <t>Schedule X / narcotic medicine create and display</t>
        </is>
      </c>
      <c r="D113" s="20" t="inlineStr">
        <is>
          <t>Low</t>
        </is>
      </c>
      <c r="E113" s="12" t="inlineStr">
        <is>
          <t>Edge Case</t>
        </is>
      </c>
      <c r="F113" s="12" t="inlineStr">
        <is>
          <t>Logged in as admin.</t>
        </is>
      </c>
      <c r="G113" s="12" t="inlineStr">
        <is>
          <t>1. Create a medicine with Drug Schedule X (e.g. Morphine 10mg Injection).
2. Verify it saves and lists correctly.</t>
        </is>
      </c>
      <c r="H113" s="12" t="inlineStr">
        <is>
          <t>Morphine 10mg Injection, Schedule X</t>
        </is>
      </c>
      <c r="I113" s="12" t="inlineStr">
        <is>
          <t>drug_class 'X' is accepted (OneOf G/H/H1/X); the medicine is created and shown; form badge shows Injection.</t>
        </is>
      </c>
      <c r="J113" s="12" t="inlineStr">
        <is>
          <t>POST /api/inventory/medicines</t>
        </is>
      </c>
      <c r="K113" s="14" t="inlineStr"/>
      <c r="L113" s="15" t="inlineStr">
        <is>
          <t>Not Executed</t>
        </is>
      </c>
      <c r="M113" s="15" t="inlineStr"/>
      <c r="N113" s="15" t="inlineStr"/>
      <c r="O113" s="15" t="inlineStr"/>
      <c r="P113" s="14" t="inlineStr"/>
    </row>
    <row r="114" ht="60" customHeight="1">
      <c r="A114" s="16" t="inlineStr">
        <is>
          <t>INV-113</t>
        </is>
      </c>
      <c r="B114" s="17" t="inlineStr">
        <is>
          <t>Dispensing</t>
        </is>
      </c>
      <c r="C114" s="17" t="inlineStr">
        <is>
          <t>Very large dispense quantity handling</t>
        </is>
      </c>
      <c r="D114" s="22" t="inlineStr">
        <is>
          <t>Low</t>
        </is>
      </c>
      <c r="E114" s="17" t="inlineStr">
        <is>
          <t>Edge Case</t>
        </is>
      </c>
      <c r="F114" s="17" t="inlineStr">
        <is>
          <t>A medicine with limited stock.</t>
        </is>
      </c>
      <c r="G114" s="17" t="inlineStr">
        <is>
          <t>1. In the Direct Dispense tab set an item quantity to a very large number (e.g. 1000000).
2. Proceed to batch selection.</t>
        </is>
      </c>
      <c r="H114" s="17" t="inlineStr">
        <is>
          <t>Quantity 1000000</t>
        </is>
      </c>
      <c r="I114" s="17" t="inlineStr">
        <is>
          <t>Batch selector shows Available &lt; Required with the red insufficient-stock banner; the wizard cannot advance past Step 3 because batches cannot cover the requirement.</t>
        </is>
      </c>
      <c r="J114" s="17" t="inlineStr">
        <is>
          <t>GET /api/inventory/batches</t>
        </is>
      </c>
      <c r="K114" s="14" t="inlineStr"/>
      <c r="L114" s="15" t="inlineStr">
        <is>
          <t>Not Executed</t>
        </is>
      </c>
      <c r="M114" s="15" t="inlineStr"/>
      <c r="N114" s="15" t="inlineStr"/>
      <c r="O114" s="15" t="inlineStr"/>
      <c r="P114" s="14" t="inlineStr"/>
    </row>
    <row r="115" ht="90" customHeight="1">
      <c r="A115" s="16" t="inlineStr">
        <is>
          <t>INV-114</t>
        </is>
      </c>
      <c r="B115" s="17" t="inlineStr">
        <is>
          <t>Dispensing</t>
        </is>
      </c>
      <c r="C115" s="17" t="inlineStr">
        <is>
          <t>Expired batch cannot be selected for dispensing</t>
        </is>
      </c>
      <c r="D115" s="21" t="inlineStr">
        <is>
          <t>High</t>
        </is>
      </c>
      <c r="E115" s="17" t="inlineStr">
        <is>
          <t>Negative</t>
        </is>
      </c>
      <c r="F115" s="17" t="inlineStr">
        <is>
          <t>The selected medicine has at least one expired batch and one valid batch.</t>
        </is>
      </c>
      <c r="G115" s="17" t="inlineStr">
        <is>
          <t>1. On Step 3 locate the expired batch row.
2. Attempt to enter a Dispense Qty in the expired batch's input.</t>
        </is>
      </c>
      <c r="H115" s="17" t="inlineStr">
        <is>
          <t>An expired batch (expiry &lt; today)</t>
        </is>
      </c>
      <c r="I115" s="17" t="inlineStr">
        <is>
          <t>The expired batch row is dimmed (opacity-50) and its Dispense Qty input is disabled; expiry badge shows 'Expired'; auto-select skips it in practice because FEFO orders it first but it cannot be edited - verify allocation still favours valid batches.</t>
        </is>
      </c>
      <c r="J115" s="17" t="inlineStr">
        <is>
          <t>GET /api/inventory/batches</t>
        </is>
      </c>
      <c r="K115" s="14" t="inlineStr"/>
      <c r="L115" s="15" t="inlineStr">
        <is>
          <t>Not Executed</t>
        </is>
      </c>
      <c r="M115" s="15" t="inlineStr"/>
      <c r="N115" s="15" t="inlineStr"/>
      <c r="O115" s="15" t="inlineStr"/>
      <c r="P115" s="14" t="inlineStr"/>
    </row>
    <row r="116" ht="75" customHeight="1">
      <c r="A116" s="11" t="inlineStr">
        <is>
          <t>INV-115</t>
        </is>
      </c>
      <c r="B116" s="12" t="inlineStr">
        <is>
          <t>Purchase Orders</t>
        </is>
      </c>
      <c r="C116" s="12" t="inlineStr">
        <is>
          <t>Cancel a purchase order with reason (API)</t>
        </is>
      </c>
      <c r="D116" s="19" t="inlineStr">
        <is>
          <t>Medium</t>
        </is>
      </c>
      <c r="E116" s="12" t="inlineStr">
        <is>
          <t>API</t>
        </is>
      </c>
      <c r="F116" s="12" t="inlineStr">
        <is>
          <t>A draft/approved PO; approve permission.</t>
        </is>
      </c>
      <c r="G116" s="12" t="inlineStr">
        <is>
          <t>1. As admin POST /inventory/purchase-orders/{id}/cancel with body {reason:'Supplier unavailable'}.
2. As data_entry attempt the same cancel.</t>
        </is>
      </c>
      <c r="H116" s="12" t="inlineStr">
        <is>
          <t>reason: 'Supplier unavailable'</t>
        </is>
      </c>
      <c r="I116" s="12" t="inlineStr">
        <is>
          <t>admin -&gt; 200 'Purchase order cancelled' and status becomes Cancelled; data_entry -&gt; 403 'Required: approve'. NOTE: the PO Detail UI has no Cancel button, so this is API-level verification only.</t>
        </is>
      </c>
      <c r="J116" s="12" t="inlineStr">
        <is>
          <t>POST /api/inventory/purchase-orders/{id}/cancel</t>
        </is>
      </c>
      <c r="K116" s="14" t="inlineStr"/>
      <c r="L116" s="15" t="inlineStr">
        <is>
          <t>Not Executed</t>
        </is>
      </c>
      <c r="M116" s="15" t="inlineStr"/>
      <c r="N116" s="15" t="inlineStr"/>
      <c r="O116" s="15" t="inlineStr"/>
      <c r="P116" s="14" t="inlineStr"/>
    </row>
    <row r="117" ht="90" customHeight="1">
      <c r="A117" s="11" t="inlineStr">
        <is>
          <t>INV-116</t>
        </is>
      </c>
      <c r="B117" s="12" t="inlineStr">
        <is>
          <t>Purchase Orders</t>
        </is>
      </c>
      <c r="C117" s="12" t="inlineStr">
        <is>
          <t>Receive Goods - received quantity exceeding ordered/pending</t>
        </is>
      </c>
      <c r="D117" s="19" t="inlineStr">
        <is>
          <t>Medium</t>
        </is>
      </c>
      <c r="E117" s="12" t="inlineStr">
        <is>
          <t>Negative</t>
        </is>
      </c>
      <c r="F117" s="12" t="inlineStr">
        <is>
          <t>An approved PO line ordered_quantity 100.</t>
        </is>
      </c>
      <c r="G117" s="12" t="inlineStr">
        <is>
          <t>1. In the Receive Goods dialog set Received Quantity to 500 (more than ordered).
2. Enter valid batch details and confirm.</t>
        </is>
      </c>
      <c r="H117" s="12" t="inlineStr">
        <is>
          <t>Received 500 of 100 ordered</t>
        </is>
      </c>
      <c r="I117" s="12" t="inlineStr">
        <is>
          <t>Schema-wise received_quantity &gt; 0 is valid; business rule expectation is that the service rejects over-receipt with a 400 ValueError. Verify the backend response and that stock is not over-credited; log a defect if over-receipt silently succeeds.</t>
        </is>
      </c>
      <c r="J117" s="12" t="inlineStr">
        <is>
          <t>POST /api/inventory/purchase-orders/{id}/receive</t>
        </is>
      </c>
      <c r="K117" s="14" t="inlineStr"/>
      <c r="L117" s="15" t="inlineStr">
        <is>
          <t>Not Executed</t>
        </is>
      </c>
      <c r="M117" s="15" t="inlineStr"/>
      <c r="N117" s="15" t="inlineStr"/>
      <c r="O117" s="15" t="inlineStr"/>
      <c r="P117" s="14" t="inlineStr"/>
    </row>
    <row r="118" ht="45" customHeight="1">
      <c r="A118" s="16" t="inlineStr">
        <is>
          <t>INV-117</t>
        </is>
      </c>
      <c r="B118" s="17" t="inlineStr">
        <is>
          <t>Medicines Master</t>
        </is>
      </c>
      <c r="C118" s="17" t="inlineStr">
        <is>
          <t>GST percentage boundary values</t>
        </is>
      </c>
      <c r="D118" s="22" t="inlineStr">
        <is>
          <t>Low</t>
        </is>
      </c>
      <c r="E118" s="17" t="inlineStr">
        <is>
          <t>Edge Case</t>
        </is>
      </c>
      <c r="F118" s="17" t="inlineStr">
        <is>
          <t>Logged in as admin.</t>
        </is>
      </c>
      <c r="G118" s="17" t="inlineStr">
        <is>
          <t>1. Create a medicine with GST 0, then 100 (valid bounds), then 101 (invalid).</t>
        </is>
      </c>
      <c r="H118" s="17" t="inlineStr">
        <is>
          <t>GST 0 / 100 / 101</t>
        </is>
      </c>
      <c r="I118" s="17" t="inlineStr">
        <is>
          <t>GST 0 and 100 accepted (Range 0-100); GST 101 -&gt; 422 validation error; record not saved for the invalid value.</t>
        </is>
      </c>
      <c r="J118" s="17" t="inlineStr">
        <is>
          <t>POST /api/inventory/medicines</t>
        </is>
      </c>
      <c r="K118" s="14" t="inlineStr"/>
      <c r="L118" s="15" t="inlineStr">
        <is>
          <t>Not Executed</t>
        </is>
      </c>
      <c r="M118" s="15" t="inlineStr"/>
      <c r="N118" s="15" t="inlineStr"/>
      <c r="O118" s="15" t="inlineStr"/>
      <c r="P118" s="14" t="inlineStr"/>
    </row>
    <row r="119" ht="60" customHeight="1">
      <c r="A119" s="11" t="inlineStr">
        <is>
          <t>INV-118</t>
        </is>
      </c>
      <c r="B119" s="12" t="inlineStr">
        <is>
          <t>Cross-cutting</t>
        </is>
      </c>
      <c r="C119" s="12" t="inlineStr">
        <is>
          <t>Selectors handle empty backing data without crashing</t>
        </is>
      </c>
      <c r="D119" s="20" t="inlineStr">
        <is>
          <t>Low</t>
        </is>
      </c>
      <c r="E119" s="12" t="inlineStr">
        <is>
          <t>Edge Case</t>
        </is>
      </c>
      <c r="F119" s="12" t="inlineStr">
        <is>
          <t>Environment with zero suppliers / zero locations (or block the calls).</t>
        </is>
      </c>
      <c r="G119" s="12" t="inlineStr">
        <is>
          <t>1. Open the PO Wizard Step 1 with no suppliers and no locations available.
2. Open the Supplier and Location dropdowns.</t>
        </is>
      </c>
      <c r="H119" s="12" t="inlineStr">
        <is>
          <t>N/A</t>
        </is>
      </c>
      <c r="I119" s="12" t="inlineStr">
        <is>
          <t>SupplierSelector shows 'No suppliers found'; LocationSelector shows 'No locations found'; no JS error; the wizard still validates 'required' on Next.</t>
        </is>
      </c>
      <c r="J119" s="12" t="inlineStr">
        <is>
          <t>GET /api/inventory/suppliers, GET /api/inventory/locations</t>
        </is>
      </c>
      <c r="K119" s="14" t="inlineStr"/>
      <c r="L119" s="15" t="inlineStr">
        <is>
          <t>Not Executed</t>
        </is>
      </c>
      <c r="M119" s="15" t="inlineStr"/>
      <c r="N119" s="15" t="inlineStr"/>
      <c r="O119" s="15" t="inlineStr"/>
      <c r="P119" s="14" t="inlineStr"/>
    </row>
    <row r="120" ht="60" customHeight="1">
      <c r="A120" s="11" t="inlineStr">
        <is>
          <t>INV-119</t>
        </is>
      </c>
      <c r="B120" s="12" t="inlineStr">
        <is>
          <t>Cross-cutting</t>
        </is>
      </c>
      <c r="C120" s="12" t="inlineStr">
        <is>
          <t>BatchSelector with no batches for medicine</t>
        </is>
      </c>
      <c r="D120" s="19" t="inlineStr">
        <is>
          <t>Medium</t>
        </is>
      </c>
      <c r="E120" s="12" t="inlineStr">
        <is>
          <t>Edge Case</t>
        </is>
      </c>
      <c r="F120" s="12" t="inlineStr">
        <is>
          <t>A medicine with zero available batches selected for dispensing.</t>
        </is>
      </c>
      <c r="G120" s="12" t="inlineStr">
        <is>
          <t>1. On Step 3 view a medicine that has no batches.</t>
        </is>
      </c>
      <c r="H120" s="12" t="inlineStr">
        <is>
          <t>Medicine with no stock/batches</t>
        </is>
      </c>
      <c r="I120" s="12" t="inlineStr">
        <is>
          <t>BatchSelector shows the Package icon with 'No batches available for this medicine'; Available = 0; insufficient-stock banner shows; wizard cannot proceed.</t>
        </is>
      </c>
      <c r="J120" s="12" t="inlineStr">
        <is>
          <t>GET /api/inventory/batches?medicine_id={id}&amp;available_only=true</t>
        </is>
      </c>
      <c r="K120" s="14" t="inlineStr"/>
      <c r="L120" s="15" t="inlineStr">
        <is>
          <t>Not Executed</t>
        </is>
      </c>
      <c r="M120" s="15" t="inlineStr"/>
      <c r="N120" s="15" t="inlineStr"/>
      <c r="O120" s="15" t="inlineStr"/>
      <c r="P120" s="14" t="inlineStr"/>
    </row>
    <row r="121" ht="75" customHeight="1">
      <c r="A121" s="16" t="inlineStr">
        <is>
          <t>INV-120</t>
        </is>
      </c>
      <c r="B121" s="17" t="inlineStr">
        <is>
          <t>API</t>
        </is>
      </c>
      <c r="C121" s="17" t="inlineStr">
        <is>
          <t>Patient prescriptions endpoint requires UUID patient id</t>
        </is>
      </c>
      <c r="D121" s="22" t="inlineStr">
        <is>
          <t>Low</t>
        </is>
      </c>
      <c r="E121" s="17" t="inlineStr">
        <is>
          <t>API</t>
        </is>
      </c>
      <c r="F121" s="17" t="inlineStr">
        <is>
          <t>Valid token.</t>
        </is>
      </c>
      <c r="G121" s="17" t="inlineStr">
        <is>
          <t>1. Call GET /inventory/prescriptions/patient/not-a-uuid.
2. Call GET /inventory/prescriptions/patient/{valid-uuid}.</t>
        </is>
      </c>
      <c r="H121" s="17" t="inlineStr">
        <is>
          <t>patient_id = 'abc' then a valid UUID</t>
        </is>
      </c>
      <c r="I121" s="17" t="inlineStr">
        <is>
          <t>Non-UUID path does not match the &lt;uuid:patient_id&gt; converter and returns 404 (route not matched); a valid UUID returns {prescriptions, total} aggregating OPD + Saranam plan-of-care, or an empty list if none.</t>
        </is>
      </c>
      <c r="J121" s="17" t="inlineStr">
        <is>
          <t>GET /api/inventory/prescriptions/patient/{patient_id}</t>
        </is>
      </c>
      <c r="K121" s="14" t="inlineStr"/>
      <c r="L121" s="15" t="inlineStr">
        <is>
          <t>Not Executed</t>
        </is>
      </c>
      <c r="M121" s="15" t="inlineStr"/>
      <c r="N121" s="15" t="inlineStr"/>
      <c r="O121" s="15" t="inlineStr"/>
      <c r="P121" s="14" t="inlineStr"/>
    </row>
  </sheetData>
  <autoFilter ref="A1:P121"/>
  <conditionalFormatting sqref="L2:L1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121" showDropDown="0" showInputMessage="0" showErrorMessage="0" allowBlank="1" type="list">
      <formula1>"Not Executed,Pass,Fail,Blocked,N/A"</formula1>
    </dataValidation>
    <dataValidation sqref="M2:M121" showDropDown="0" showInputMessage="0"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75" customHeight="1">
      <c r="A2" s="11" t="inlineStr">
        <is>
          <t>ANL-001</t>
        </is>
      </c>
      <c r="B2" s="12" t="inlineStr">
        <is>
          <t>Permission &amp; Access</t>
        </is>
      </c>
      <c r="C2" s="12" t="inlineStr">
        <is>
          <t>User WITH view_analytics permission can open /analytics</t>
        </is>
      </c>
      <c r="D2" s="13" t="inlineStr">
        <is>
          <t>High</t>
        </is>
      </c>
      <c r="E2" s="12" t="inlineStr">
        <is>
          <t>Permission</t>
        </is>
      </c>
      <c r="F2" s="12" t="inlineStr">
        <is>
          <t>Logged in as Account A (has view_analytics).</t>
        </is>
      </c>
      <c r="G2" s="12" t="inlineStr">
        <is>
          <t>1. Log in as Account A.
2. Navigate to /analytics (via the Analytics nav item or direct URL).
3. Observe the page.</t>
        </is>
      </c>
      <c r="H2" s="12" t="inlineStr">
        <is>
          <t>analyst@saranam.test</t>
        </is>
      </c>
      <c r="I2" s="12" t="inlineStr">
        <is>
          <t>The Analytics Dashboard renders: 'Analytics Dashboard' title, the tab toggle group (Patient, Forms, Vitals, Donor / ToC), date controls and the Patient view content. No Access Denied panel.</t>
        </is>
      </c>
      <c r="J2" s="12" t="inlineStr">
        <is>
          <t>GET /api/analytics/dashboard</t>
        </is>
      </c>
      <c r="K2" s="14" t="inlineStr"/>
      <c r="L2" s="15" t="inlineStr">
        <is>
          <t>Not Executed</t>
        </is>
      </c>
      <c r="M2" s="15" t="inlineStr"/>
      <c r="N2" s="15" t="inlineStr"/>
      <c r="O2" s="15" t="inlineStr"/>
      <c r="P2" s="14" t="inlineStr"/>
    </row>
    <row r="3" ht="60" customHeight="1">
      <c r="A3" s="11" t="inlineStr">
        <is>
          <t>ANL-002</t>
        </is>
      </c>
      <c r="B3" s="12" t="inlineStr">
        <is>
          <t>Permission &amp; Access</t>
        </is>
      </c>
      <c r="C3" s="12" t="inlineStr">
        <is>
          <t>User WITHOUT view_analytics permission is blocked</t>
        </is>
      </c>
      <c r="D3" s="13" t="inlineStr">
        <is>
          <t>High</t>
        </is>
      </c>
      <c r="E3" s="12" t="inlineStr">
        <is>
          <t>Permission</t>
        </is>
      </c>
      <c r="F3" s="12" t="inlineStr">
        <is>
          <t>Logged in as Account B (no view_analytics).</t>
        </is>
      </c>
      <c r="G3" s="12" t="inlineStr">
        <is>
          <t>1. Log in as Account B.
2. Attempt to open /analytics via direct URL.
3. Observe the page.</t>
        </is>
      </c>
      <c r="H3" s="12" t="inlineStr">
        <is>
          <t>fieldnurse@saranam.test</t>
        </is>
      </c>
      <c r="I3" s="12" t="inlineStr">
        <is>
          <t>ProtectedRoute renders the 'Access Denied — You don't have permission to access this page.' panel. The dashboard content and any analytics API call are NOT made.</t>
        </is>
      </c>
      <c r="J3" s="12" t="inlineStr">
        <is>
          <t>N/A</t>
        </is>
      </c>
      <c r="K3" s="14" t="inlineStr"/>
      <c r="L3" s="15" t="inlineStr">
        <is>
          <t>Not Executed</t>
        </is>
      </c>
      <c r="M3" s="15" t="inlineStr"/>
      <c r="N3" s="15" t="inlineStr"/>
      <c r="O3" s="15" t="inlineStr"/>
      <c r="P3" s="14" t="inlineStr"/>
    </row>
    <row r="4" ht="60" customHeight="1">
      <c r="A4" s="11" t="inlineStr">
        <is>
          <t>ANL-003</t>
        </is>
      </c>
      <c r="B4" s="12" t="inlineStr">
        <is>
          <t>Permission &amp; Access</t>
        </is>
      </c>
      <c r="C4" s="12" t="inlineStr">
        <is>
          <t>Unauthenticated access to /analytics redirects to login</t>
        </is>
      </c>
      <c r="D4" s="13" t="inlineStr">
        <is>
          <t>High</t>
        </is>
      </c>
      <c r="E4" s="12" t="inlineStr">
        <is>
          <t>Permission</t>
        </is>
      </c>
      <c r="F4" s="12" t="inlineStr">
        <is>
          <t>No active session (localStorage cleared / logged out).</t>
        </is>
      </c>
      <c r="G4" s="12" t="inlineStr">
        <is>
          <t>1. Clear localStorage (access_token, refresh_token, user) or log out.
2. Open /analytics directly.
3. Observe navigation.</t>
        </is>
      </c>
      <c r="H4" s="12" t="inlineStr">
        <is>
          <t>N/A</t>
        </is>
      </c>
      <c r="I4" s="12" t="inlineStr">
        <is>
          <t>ProtectedRoute finds no user and redirects to /login (Navigate replace). The Analytics Dashboard is not shown.</t>
        </is>
      </c>
      <c r="J4" s="12" t="inlineStr">
        <is>
          <t>N/A</t>
        </is>
      </c>
      <c r="K4" s="14" t="inlineStr"/>
      <c r="L4" s="15" t="inlineStr">
        <is>
          <t>Not Executed</t>
        </is>
      </c>
      <c r="M4" s="15" t="inlineStr"/>
      <c r="N4" s="15" t="inlineStr"/>
      <c r="O4" s="15" t="inlineStr"/>
      <c r="P4" s="14" t="inlineStr"/>
    </row>
    <row r="5" ht="105" customHeight="1">
      <c r="A5" s="11" t="inlineStr">
        <is>
          <t>ANL-004</t>
        </is>
      </c>
      <c r="B5" s="12" t="inlineStr">
        <is>
          <t>Permission &amp; Access</t>
        </is>
      </c>
      <c r="C5" s="12" t="inlineStr">
        <is>
          <t>Analytics API requires a valid Bearer token (401 when missing)</t>
        </is>
      </c>
      <c r="D5" s="13" t="inlineStr">
        <is>
          <t>High</t>
        </is>
      </c>
      <c r="E5" s="12" t="inlineStr">
        <is>
          <t>API</t>
        </is>
      </c>
      <c r="F5" s="12" t="inlineStr">
        <is>
          <t>Account A logged in; DevTools available.</t>
        </is>
      </c>
      <c r="G5" s="12" t="inlineStr">
        <is>
          <t>1. Open /analytics.
2. In DevTools, manually delete/blank the access_token in localStorage, then trigger a refresh of the Patient view (Refresh button or change date range).
3. Inspect the /api/analytics/dashboard request and response.</t>
        </is>
      </c>
      <c r="H5" s="12" t="inlineStr">
        <is>
          <t>N/A</t>
        </is>
      </c>
      <c r="I5" s="12" t="inlineStr">
        <is>
          <t>Request goes out with an invalid/empty Authorization header; backend (@require_auth) returns 401. The dashboard shows the red 'Error loading dashboard' panel with a 'Try Again' button (no app crash). NOTE: because the dashboard uses raw axios, the apiClient 401 refresh-and-retry does NOT run.</t>
        </is>
      </c>
      <c r="J5" s="12" t="inlineStr">
        <is>
          <t>GET /api/analytics/dashboard</t>
        </is>
      </c>
      <c r="K5" s="14" t="inlineStr"/>
      <c r="L5" s="15" t="inlineStr">
        <is>
          <t>Not Executed</t>
        </is>
      </c>
      <c r="M5" s="15" t="inlineStr"/>
      <c r="N5" s="15" t="inlineStr"/>
      <c r="O5" s="15" t="inlineStr"/>
      <c r="P5" s="14" t="inlineStr"/>
    </row>
    <row r="6" ht="90" customHeight="1">
      <c r="A6" s="16" t="inlineStr">
        <is>
          <t>ANL-005</t>
        </is>
      </c>
      <c r="B6" s="17" t="inlineStr">
        <is>
          <t>Dashboard Shell</t>
        </is>
      </c>
      <c r="C6" s="17" t="inlineStr">
        <is>
          <t>Default view on load is Patient with Last-12-months range</t>
        </is>
      </c>
      <c r="D6" s="21" t="inlineStr">
        <is>
          <t>High</t>
        </is>
      </c>
      <c r="E6" s="17" t="inlineStr">
        <is>
          <t>Functional</t>
        </is>
      </c>
      <c r="F6" s="17" t="inlineStr">
        <is>
          <t>Account A logged in.</t>
        </is>
      </c>
      <c r="G6" s="17" t="inlineStr">
        <is>
          <t>1. Open /analytics fresh.
2. Observe which tab is active and the date range shown in the picker.</t>
        </is>
      </c>
      <c r="H6" s="17" t="inlineStr">
        <is>
          <t>N/A</t>
        </is>
      </c>
      <c r="I6" s="17" t="inlineStr">
        <is>
          <t>The 'Patient' tab is active (highlighted) by default. The DateRangePicker shows a range from ~12 months ago to today (e.g. Jun 1, 2025 - Jun 1, 2026). The patient-type filter (All Patients) is visible only on this view.</t>
        </is>
      </c>
      <c r="J6" s="17" t="inlineStr">
        <is>
          <t>GET /api/analytics/dashboard, GET /api/analytics/deaths/impact</t>
        </is>
      </c>
      <c r="K6" s="14" t="inlineStr"/>
      <c r="L6" s="15" t="inlineStr">
        <is>
          <t>Not Executed</t>
        </is>
      </c>
      <c r="M6" s="15" t="inlineStr"/>
      <c r="N6" s="15" t="inlineStr"/>
      <c r="O6" s="15" t="inlineStr"/>
      <c r="P6" s="14" t="inlineStr"/>
    </row>
    <row r="7" ht="120" customHeight="1">
      <c r="A7" s="16" t="inlineStr">
        <is>
          <t>ANL-006</t>
        </is>
      </c>
      <c r="B7" s="17" t="inlineStr">
        <is>
          <t>Dashboard Shell</t>
        </is>
      </c>
      <c r="C7" s="17" t="inlineStr">
        <is>
          <t>Tab navigation switches between all four live views</t>
        </is>
      </c>
      <c r="D7" s="21" t="inlineStr">
        <is>
          <t>High</t>
        </is>
      </c>
      <c r="E7" s="17" t="inlineStr">
        <is>
          <t>Functional</t>
        </is>
      </c>
      <c r="F7" s="17" t="inlineStr">
        <is>
          <t>Account A on /analytics.</t>
        </is>
      </c>
      <c r="G7" s="17" t="inlineStr">
        <is>
          <t>1. Click the 'Forms' tab; observe content and subtitle.
2. Click the 'Vitals' tab; observe content.
3. Click the 'Donor / ToC' tab; observe content.
4. Click back to 'Patient'.</t>
        </is>
      </c>
      <c r="H7" s="17" t="inlineStr">
        <is>
          <t>N/A</t>
        </is>
      </c>
      <c r="I7" s="17" t="inlineStr">
        <is>
          <t>Each click activates the corresponding tab (highlighted) and renders that view's content. The header subtitle updates per view (e.g. 'form usage and completion', 'vital sign trends and clinical correlations', 'Theory of Change-aligned stewardship', 'patient demographics and operational'). Only one view is visible at a time.</t>
        </is>
      </c>
      <c r="J7" s="17" t="inlineStr">
        <is>
          <t>GET /api/analytics/dashboard, GET /api/analytics/forms, GET /api/analytics/vitals/summary, GET /api/analytics/donor/overview</t>
        </is>
      </c>
      <c r="K7" s="14" t="inlineStr"/>
      <c r="L7" s="15" t="inlineStr">
        <is>
          <t>Not Executed</t>
        </is>
      </c>
      <c r="M7" s="15" t="inlineStr"/>
      <c r="N7" s="15" t="inlineStr"/>
      <c r="O7" s="15" t="inlineStr"/>
      <c r="P7" s="14" t="inlineStr"/>
    </row>
    <row r="8" ht="90" customHeight="1">
      <c r="A8" s="16" t="inlineStr">
        <is>
          <t>ANL-007</t>
        </is>
      </c>
      <c r="B8" s="17" t="inlineStr">
        <is>
          <t>Dashboard Shell</t>
        </is>
      </c>
      <c r="C8" s="17" t="inlineStr">
        <is>
          <t>Only Patient / Forms / Vitals / Donor tabs are present (hidden views absent)</t>
        </is>
      </c>
      <c r="D8" s="18" t="inlineStr">
        <is>
          <t>Medium</t>
        </is>
      </c>
      <c r="E8" s="17" t="inlineStr">
        <is>
          <t>UI/UX</t>
        </is>
      </c>
      <c r="F8" s="17" t="inlineStr">
        <is>
          <t>Account A on /analytics.</t>
        </is>
      </c>
      <c r="G8" s="17" t="inlineStr">
        <is>
          <t>1. Inspect the tab toggle group.
2. Confirm which tab buttons are rendered.</t>
        </is>
      </c>
      <c r="H8" s="17" t="inlineStr">
        <is>
          <t>N/A</t>
        </is>
      </c>
      <c r="I8" s="17" t="inlineStr">
        <is>
          <t>Exactly four tab buttons render: Patient, Forms, Vitals, Donor / ToC. The Symptoms, Risk, Geospatial, Optimization, Outcomes and Financial tabs are NOT present (commented out in code) and there is no way to reach those views from the UI.</t>
        </is>
      </c>
      <c r="J8" s="17" t="inlineStr">
        <is>
          <t>N/A</t>
        </is>
      </c>
      <c r="K8" s="14" t="inlineStr"/>
      <c r="L8" s="15" t="inlineStr">
        <is>
          <t>Not Executed</t>
        </is>
      </c>
      <c r="M8" s="15" t="inlineStr"/>
      <c r="N8" s="15" t="inlineStr"/>
      <c r="O8" s="15" t="inlineStr"/>
      <c r="P8" s="14" t="inlineStr"/>
    </row>
    <row r="9" ht="90" customHeight="1">
      <c r="A9" s="16" t="inlineStr">
        <is>
          <t>ANL-008</t>
        </is>
      </c>
      <c r="B9" s="17" t="inlineStr">
        <is>
          <t>Dashboard Shell</t>
        </is>
      </c>
      <c r="C9" s="17" t="inlineStr">
        <is>
          <t>Loading skeletons appear while patient data is fetched</t>
        </is>
      </c>
      <c r="D9" s="18" t="inlineStr">
        <is>
          <t>Medium</t>
        </is>
      </c>
      <c r="E9" s="17" t="inlineStr">
        <is>
          <t>UI/UX</t>
        </is>
      </c>
      <c r="F9" s="17" t="inlineStr">
        <is>
          <t>Account A; DevTools Network throttling set to Slow 3G.</t>
        </is>
      </c>
      <c r="G9" s="17" t="inlineStr">
        <is>
          <t>1. Throttle the network in DevTools.
2. Open /analytics (Patient view).
3. Observe the StatCards and ChartCards during the fetch.</t>
        </is>
      </c>
      <c r="H9" s="17" t="inlineStr">
        <is>
          <t>N/A</t>
        </is>
      </c>
      <c r="I9" s="17" t="inlineStr">
        <is>
          <t>While loading, StatCards and ChartCards show skeleton placeholders (grey shimmer blocks) instead of values/charts; once /analytics/dashboard resolves, real values and charts replace them. The Refresh icon spins while loading.</t>
        </is>
      </c>
      <c r="J9" s="17" t="inlineStr">
        <is>
          <t>GET /api/analytics/dashboard</t>
        </is>
      </c>
      <c r="K9" s="14" t="inlineStr"/>
      <c r="L9" s="15" t="inlineStr">
        <is>
          <t>Not Executed</t>
        </is>
      </c>
      <c r="M9" s="15" t="inlineStr"/>
      <c r="N9" s="15" t="inlineStr"/>
      <c r="O9" s="15" t="inlineStr"/>
      <c r="P9" s="14" t="inlineStr"/>
    </row>
    <row r="10" ht="75" customHeight="1">
      <c r="A10" s="16" t="inlineStr">
        <is>
          <t>ANL-009</t>
        </is>
      </c>
      <c r="B10" s="17" t="inlineStr">
        <is>
          <t>Dashboard Shell</t>
        </is>
      </c>
      <c r="C10" s="17" t="inlineStr">
        <is>
          <t>Dashboard error panel renders when /analytics/dashboard fails (500)</t>
        </is>
      </c>
      <c r="D10" s="21" t="inlineStr">
        <is>
          <t>High</t>
        </is>
      </c>
      <c r="E10" s="17" t="inlineStr">
        <is>
          <t>Negative</t>
        </is>
      </c>
      <c r="F10" s="17" t="inlineStr">
        <is>
          <t>Account A; ability to force the dashboard call to fail (DevTools request block or backend 500).</t>
        </is>
      </c>
      <c r="G10" s="17" t="inlineStr">
        <is>
          <t>1. Open /analytics.
2. Block or force a 500 on GET /api/analytics/dashboard, then click Refresh.
3. Observe the page.</t>
        </is>
      </c>
      <c r="H10" s="17" t="inlineStr">
        <is>
          <t>N/A</t>
        </is>
      </c>
      <c r="I10" s="17" t="inlineStr">
        <is>
          <t>The page shows the red 'Error loading dashboard' box with the server error message and a 'Try Again' button. No blank screen or JS crash. Clicking 'Try Again' re-issues the fetch.</t>
        </is>
      </c>
      <c r="J10" s="17" t="inlineStr">
        <is>
          <t>GET /api/analytics/dashboard</t>
        </is>
      </c>
      <c r="K10" s="14" t="inlineStr"/>
      <c r="L10" s="15" t="inlineStr">
        <is>
          <t>Not Executed</t>
        </is>
      </c>
      <c r="M10" s="15" t="inlineStr"/>
      <c r="N10" s="15" t="inlineStr"/>
      <c r="O10" s="15" t="inlineStr"/>
      <c r="P10" s="14" t="inlineStr"/>
    </row>
    <row r="11" ht="90" customHeight="1">
      <c r="A11" s="16" t="inlineStr">
        <is>
          <t>ANL-010</t>
        </is>
      </c>
      <c r="B11" s="17" t="inlineStr">
        <is>
          <t>Dashboard Shell</t>
        </is>
      </c>
      <c r="C11" s="17" t="inlineStr">
        <is>
          <t>Refresh button re-fetches the active view</t>
        </is>
      </c>
      <c r="D11" s="18" t="inlineStr">
        <is>
          <t>Medium</t>
        </is>
      </c>
      <c r="E11" s="17" t="inlineStr">
        <is>
          <t>Functional</t>
        </is>
      </c>
      <c r="F11" s="17" t="inlineStr">
        <is>
          <t>Account A on /analytics (Patient view); DevTools Network open.</t>
        </is>
      </c>
      <c r="G11" s="17" t="inlineStr">
        <is>
          <t>1. Note the current /api/analytics/dashboard request in Network.
2. Click the circular Refresh (RefreshCw) button.
3. Observe Network and the spinner.</t>
        </is>
      </c>
      <c r="H11" s="17" t="inlineStr">
        <is>
          <t>N/A</t>
        </is>
      </c>
      <c r="I11" s="17" t="inlineStr">
        <is>
          <t>A fresh GET /api/analytics/dashboard fires with the same current params; the Refresh icon spins (animate-spin) and is disabled while loading; data re-renders on completion. On the Forms tab the same button refetches /api/analytics/forms.</t>
        </is>
      </c>
      <c r="J11" s="17" t="inlineStr">
        <is>
          <t>GET /api/analytics/dashboard</t>
        </is>
      </c>
      <c r="K11" s="14" t="inlineStr"/>
      <c r="L11" s="15" t="inlineStr">
        <is>
          <t>Not Executed</t>
        </is>
      </c>
      <c r="M11" s="15" t="inlineStr"/>
      <c r="N11" s="15" t="inlineStr"/>
      <c r="O11" s="15" t="inlineStr"/>
      <c r="P11" s="14" t="inlineStr"/>
    </row>
    <row r="12" ht="90" customHeight="1">
      <c r="A12" s="11" t="inlineStr">
        <is>
          <t>ANL-011</t>
        </is>
      </c>
      <c r="B12" s="12" t="inlineStr">
        <is>
          <t>Patient Analysis View</t>
        </is>
      </c>
      <c r="C12" s="12" t="inlineStr">
        <is>
          <t>Summary StatCards render correct headline figures</t>
        </is>
      </c>
      <c r="D12" s="13" t="inlineStr">
        <is>
          <t>High</t>
        </is>
      </c>
      <c r="E12" s="12" t="inlineStr">
        <is>
          <t>Functional</t>
        </is>
      </c>
      <c r="F12" s="12" t="inlineStr">
        <is>
          <t>Account A on Patient view with data present.</t>
        </is>
      </c>
      <c r="G12" s="12" t="inlineStr">
        <is>
          <t>1. Open /analytics (Patient).
2. Read the three top StatCards: Total Patients, New Patients, Total Forms.
3. Compare values to the /api/analytics/dashboard summary in Network.</t>
        </is>
      </c>
      <c r="H12" s="12" t="inlineStr">
        <is>
          <t>N/A</t>
        </is>
      </c>
      <c r="I12" s="12" t="inlineStr">
        <is>
          <t>Total Patients = summary.total_patients, New Patients = summary.new_patients (with a growth_rate trend badge vs last month), Total Forms = summary.total_forms, all locale-formatted (e.g. 1,234). Values match the API JSON exactly.</t>
        </is>
      </c>
      <c r="J12" s="12" t="inlineStr">
        <is>
          <t>GET /api/analytics/dashboard</t>
        </is>
      </c>
      <c r="K12" s="14" t="inlineStr"/>
      <c r="L12" s="15" t="inlineStr">
        <is>
          <t>Not Executed</t>
        </is>
      </c>
      <c r="M12" s="15" t="inlineStr"/>
      <c r="N12" s="15" t="inlineStr"/>
      <c r="O12" s="15" t="inlineStr"/>
      <c r="P12" s="14" t="inlineStr"/>
    </row>
    <row r="13" ht="90" customHeight="1">
      <c r="A13" s="11" t="inlineStr">
        <is>
          <t>ANL-012</t>
        </is>
      </c>
      <c r="B13" s="12" t="inlineStr">
        <is>
          <t>Patient Analysis View</t>
        </is>
      </c>
      <c r="C13" s="12" t="inlineStr">
        <is>
          <t>Palliative Outcomes cards reflect deaths/impact (window_days=30)</t>
        </is>
      </c>
      <c r="D13" s="13" t="inlineStr">
        <is>
          <t>High</t>
        </is>
      </c>
      <c r="E13" s="12" t="inlineStr">
        <is>
          <t>Functional</t>
        </is>
      </c>
      <c r="F13" s="12" t="inlineStr">
        <is>
          <t>Account A; at least one death recorded in last 30 days.</t>
        </is>
      </c>
      <c r="G13" s="12" t="inlineStr">
        <is>
          <t>1. Open /analytics (Patient).
2. Read the 'Deaths (Last 30 Days)' and 'Avg Visits Before Death' cards.
3. Inspect the GET /api/analytics/deaths/impact?window_days=30 response.</t>
        </is>
      </c>
      <c r="H13" s="12" t="inlineStr">
        <is>
          <t>window_days=30</t>
        </is>
      </c>
      <c r="I13" s="12" t="inlineStr">
        <is>
          <t>Deaths (Last 30 Days) = deaths_in_window; Avg Visits Before Death = avg_visits_before_death formatted to 1 decimal. These cards fetch independently and keep their own loading skeleton; a deaths/impact failure does NOT blank the other StatCards.</t>
        </is>
      </c>
      <c r="J13" s="12" t="inlineStr">
        <is>
          <t>GET /api/analytics/deaths/impact</t>
        </is>
      </c>
      <c r="K13" s="14" t="inlineStr"/>
      <c r="L13" s="15" t="inlineStr">
        <is>
          <t>Not Executed</t>
        </is>
      </c>
      <c r="M13" s="15" t="inlineStr"/>
      <c r="N13" s="15" t="inlineStr"/>
      <c r="O13" s="15" t="inlineStr"/>
      <c r="P13" s="14" t="inlineStr"/>
    </row>
    <row r="14" ht="75" customHeight="1">
      <c r="A14" s="11" t="inlineStr">
        <is>
          <t>ANL-013</t>
        </is>
      </c>
      <c r="B14" s="12" t="inlineStr">
        <is>
          <t>Patient Analysis View</t>
        </is>
      </c>
      <c r="C14" s="12" t="inlineStr">
        <is>
          <t>Deaths Over Time line chart renders monthly series</t>
        </is>
      </c>
      <c r="D14" s="19" t="inlineStr">
        <is>
          <t>Medium</t>
        </is>
      </c>
      <c r="E14" s="12" t="inlineStr">
        <is>
          <t>Functional</t>
        </is>
      </c>
      <c r="F14" s="12" t="inlineStr">
        <is>
          <t>Account A; deaths recorded across multiple months.</t>
        </is>
      </c>
      <c r="G14" s="12" t="inlineStr">
        <is>
          <t>1. Open /analytics (Patient).
2. Locate the 'Deaths Over Time' chart.
3. Hover data points.</t>
        </is>
      </c>
      <c r="H14" s="12" t="inlineStr">
        <is>
          <t>N/A</t>
        </is>
      </c>
      <c r="I14" s="12" t="inlineStr">
        <is>
          <t>A red line chart plots deaths_by_month (month on X, count on Y, integer Y axis). Hover tooltip shows the death count labelled 'Deaths'. Description reads 'Monthly deaths in the last 12 months'.</t>
        </is>
      </c>
      <c r="J14" s="12" t="inlineStr">
        <is>
          <t>GET /api/analytics/deaths/impact</t>
        </is>
      </c>
      <c r="K14" s="14" t="inlineStr"/>
      <c r="L14" s="15" t="inlineStr">
        <is>
          <t>Not Executed</t>
        </is>
      </c>
      <c r="M14" s="15" t="inlineStr"/>
      <c r="N14" s="15" t="inlineStr"/>
      <c r="O14" s="15" t="inlineStr"/>
      <c r="P14" s="14" t="inlineStr"/>
    </row>
    <row r="15" ht="105" customHeight="1">
      <c r="A15" s="11" t="inlineStr">
        <is>
          <t>ANL-014</t>
        </is>
      </c>
      <c r="B15" s="12" t="inlineStr">
        <is>
          <t>Patient Analysis View</t>
        </is>
      </c>
      <c r="C15" s="12" t="inlineStr">
        <is>
          <t>Age Distribution bar chart shows banded labels with ranges</t>
        </is>
      </c>
      <c r="D15" s="19" t="inlineStr">
        <is>
          <t>Medium</t>
        </is>
      </c>
      <c r="E15" s="12" t="inlineStr">
        <is>
          <t>Functional</t>
        </is>
      </c>
      <c r="F15" s="12" t="inlineStr">
        <is>
          <t>Account A; patients across multiple age bands incl. an Unknown (no DOB) band.</t>
        </is>
      </c>
      <c r="G15" s="12" t="inlineStr">
        <is>
          <t>1. Open /analytics (Patient).
2. Inspect the 'Age Distribution' bar chart X-axis labels and bar heights.
3. Compare to demographics.age_distribution in the API.</t>
        </is>
      </c>
      <c r="H15" s="12" t="inlineStr">
        <is>
          <t>N/A</t>
        </is>
      </c>
      <c r="I15" s="12" t="inlineStr">
        <is>
          <t>Each bar's X label is the band name plus numeric range (e.g. 'Infant (0-1)', 'Super senior (80+)') when min_age is present, and 'Unknown (no DOB)' unchanged. Bar counts equal demographics.age_distribution[].count. Labels are angled -30deg and all show (interval=0).</t>
        </is>
      </c>
      <c r="J15" s="12" t="inlineStr">
        <is>
          <t>GET /api/analytics/dashboard</t>
        </is>
      </c>
      <c r="K15" s="14" t="inlineStr"/>
      <c r="L15" s="15" t="inlineStr">
        <is>
          <t>Not Executed</t>
        </is>
      </c>
      <c r="M15" s="15" t="inlineStr"/>
      <c r="N15" s="15" t="inlineStr"/>
      <c r="O15" s="15" t="inlineStr"/>
      <c r="P15" s="14" t="inlineStr"/>
    </row>
    <row r="16" ht="75" customHeight="1">
      <c r="A16" s="11" t="inlineStr">
        <is>
          <t>ANL-015</t>
        </is>
      </c>
      <c r="B16" s="12" t="inlineStr">
        <is>
          <t>Patient Analysis View</t>
        </is>
      </c>
      <c r="C16" s="12" t="inlineStr">
        <is>
          <t>Gender Distribution pie shows percentage labels and Unknown handling</t>
        </is>
      </c>
      <c r="D16" s="19" t="inlineStr">
        <is>
          <t>Medium</t>
        </is>
      </c>
      <c r="E16" s="12" t="inlineStr">
        <is>
          <t>Functional</t>
        </is>
      </c>
      <c r="F16" s="12" t="inlineStr">
        <is>
          <t>Account A; patients of both genders + at least one null gender.</t>
        </is>
      </c>
      <c r="G16" s="12" t="inlineStr">
        <is>
          <t>1. Open /analytics (Patient).
2. Inspect the 'Gender Distribution' pie slices and labels.
3. Hover a slice.</t>
        </is>
      </c>
      <c r="H16" s="12" t="inlineStr">
        <is>
          <t>N/A</t>
        </is>
      </c>
      <c r="I16" s="12" t="inlineStr">
        <is>
          <t>Pie slices map to gender_distribution; each label reads 'Name: percentage%'. A null/blank gender renders as 'Unknown'. Slice values equal item.count and percentages match the API percentage field.</t>
        </is>
      </c>
      <c r="J16" s="12" t="inlineStr">
        <is>
          <t>GET /api/analytics/dashboard</t>
        </is>
      </c>
      <c r="K16" s="14" t="inlineStr"/>
      <c r="L16" s="15" t="inlineStr">
        <is>
          <t>Not Executed</t>
        </is>
      </c>
      <c r="M16" s="15" t="inlineStr"/>
      <c r="N16" s="15" t="inlineStr"/>
      <c r="O16" s="15" t="inlineStr"/>
      <c r="P16" s="14" t="inlineStr"/>
    </row>
    <row r="17" ht="60" customHeight="1">
      <c r="A17" s="11" t="inlineStr">
        <is>
          <t>ANL-016</t>
        </is>
      </c>
      <c r="B17" s="12" t="inlineStr">
        <is>
          <t>Patient Analysis View</t>
        </is>
      </c>
      <c r="C17" s="12" t="inlineStr">
        <is>
          <t>Registration Trends line chart plots registrations over time</t>
        </is>
      </c>
      <c r="D17" s="19" t="inlineStr">
        <is>
          <t>Medium</t>
        </is>
      </c>
      <c r="E17" s="12" t="inlineStr">
        <is>
          <t>Functional</t>
        </is>
      </c>
      <c r="F17" s="12" t="inlineStr">
        <is>
          <t>Account A; registrations spread over the period.</t>
        </is>
      </c>
      <c r="G17" s="12" t="inlineStr">
        <is>
          <t>1. Open /analytics (Patient).
2. Inspect 'Patient Registration Trends'.
3. Compare to trends.registration_over_time.</t>
        </is>
      </c>
      <c r="H17" s="12" t="inlineStr">
        <is>
          <t>N/A</t>
        </is>
      </c>
      <c r="I17" s="12" t="inlineStr">
        <is>
          <t>Line chart with month on X and New-Patients count on Y, matching trends.registration_over_time[].month/.count. Hover tooltip shows the count.</t>
        </is>
      </c>
      <c r="J17" s="12" t="inlineStr">
        <is>
          <t>GET /api/analytics/dashboard</t>
        </is>
      </c>
      <c r="K17" s="14" t="inlineStr"/>
      <c r="L17" s="15" t="inlineStr">
        <is>
          <t>Not Executed</t>
        </is>
      </c>
      <c r="M17" s="15" t="inlineStr"/>
      <c r="N17" s="15" t="inlineStr"/>
      <c r="O17" s="15" t="inlineStr"/>
      <c r="P17" s="14" t="inlineStr"/>
    </row>
    <row r="18" ht="90" customHeight="1">
      <c r="A18" s="11" t="inlineStr">
        <is>
          <t>ANL-017</t>
        </is>
      </c>
      <c r="B18" s="12" t="inlineStr">
        <is>
          <t>Patient Analysis View</t>
        </is>
      </c>
      <c r="C18" s="12" t="inlineStr">
        <is>
          <t>Patient-type filter (New) re-fetches with patient_type=new</t>
        </is>
      </c>
      <c r="D18" s="13" t="inlineStr">
        <is>
          <t>High</t>
        </is>
      </c>
      <c r="E18" s="12" t="inlineStr">
        <is>
          <t>Functional</t>
        </is>
      </c>
      <c r="F18" s="12" t="inlineStr">
        <is>
          <t>Account A on Patient view; DevTools Network open.</t>
        </is>
      </c>
      <c r="G18" s="12" t="inlineStr">
        <is>
          <t>1. Open the patient filter Select (default 'All Patients').
2. Choose 'New Patients'.
3. Inspect the new /api/analytics/dashboard request params.</t>
        </is>
      </c>
      <c r="H18" s="12" t="inlineStr">
        <is>
          <t>patient_type=new</t>
        </is>
      </c>
      <c r="I18" s="12" t="inlineStr">
        <is>
          <t>Selecting 'New Patients' triggers a refetch with query param patient_type=new (and patient_type=active for 'Active Patients'). 'All Patients' omits the param entirely (undefined). Charts/StatCards update to the filtered figures.</t>
        </is>
      </c>
      <c r="J18" s="12" t="inlineStr">
        <is>
          <t>GET /api/analytics/dashboard</t>
        </is>
      </c>
      <c r="K18" s="14" t="inlineStr"/>
      <c r="L18" s="15" t="inlineStr">
        <is>
          <t>Not Executed</t>
        </is>
      </c>
      <c r="M18" s="15" t="inlineStr"/>
      <c r="N18" s="15" t="inlineStr"/>
      <c r="O18" s="15" t="inlineStr"/>
      <c r="P18" s="14" t="inlineStr"/>
    </row>
    <row r="19" ht="150" customHeight="1">
      <c r="A19" s="11" t="inlineStr">
        <is>
          <t>ANL-018</t>
        </is>
      </c>
      <c r="B19" s="12" t="inlineStr">
        <is>
          <t>Patient Analysis View</t>
        </is>
      </c>
      <c r="C19" s="12" t="inlineStr">
        <is>
          <t>Embedded Vitals Analysis block renders under the Patient view</t>
        </is>
      </c>
      <c r="D19" s="19" t="inlineStr">
        <is>
          <t>Medium</t>
        </is>
      </c>
      <c r="E19" s="12" t="inlineStr">
        <is>
          <t>Functional</t>
        </is>
      </c>
      <c r="F19" s="12" t="inlineStr">
        <is>
          <t>Account A on Patient view with vitals data.</t>
        </is>
      </c>
      <c r="G19" s="12" t="inlineStr">
        <is>
          <t>1. Scroll to the bottom of the Patient view.
2. Confirm a 'Vitals Analysis' section appears.
3. Observe its KPI cards and charts.</t>
        </is>
      </c>
      <c r="H19" s="12" t="inlineStr">
        <is>
          <t>N/A</t>
        </is>
      </c>
      <c r="I19" s="12" t="inlineStr">
        <is>
          <t>A 'Vitals Analysis' heading is shown followed by the full VitalsAnalysisView (Patients Tracked / Deaths / Avg-Visits KPIs, Vitals Distribution, Correlation). It self-fetches its own data, so it appears even though the Patient view passes it no props. (Note: this is the SAME component also shown as the standalone Vitals tab — vitals/summary, /distribution, /correlation, /deaths-impact are called again here.)</t>
        </is>
      </c>
      <c r="J19" s="12" t="inlineStr">
        <is>
          <t>GET /api/analytics/vitals/summary, GET /api/analytics/vitals/distribution, GET /api/analytics/vitals/correlation, GET /api/analytics/deaths/impact</t>
        </is>
      </c>
      <c r="K19" s="14" t="inlineStr"/>
      <c r="L19" s="15" t="inlineStr">
        <is>
          <t>Not Executed</t>
        </is>
      </c>
      <c r="M19" s="15" t="inlineStr"/>
      <c r="N19" s="15" t="inlineStr"/>
      <c r="O19" s="15" t="inlineStr"/>
      <c r="P19" s="14" t="inlineStr"/>
    </row>
    <row r="20" ht="90" customHeight="1">
      <c r="A20" s="11" t="inlineStr">
        <is>
          <t>ANL-019</t>
        </is>
      </c>
      <c r="B20" s="12" t="inlineStr">
        <is>
          <t>Patient Analysis View</t>
        </is>
      </c>
      <c r="C20" s="12" t="inlineStr">
        <is>
          <t>Empty patient data renders zeros and empty charts (no crash)</t>
        </is>
      </c>
      <c r="D20" s="19" t="inlineStr">
        <is>
          <t>Medium</t>
        </is>
      </c>
      <c r="E20" s="12" t="inlineStr">
        <is>
          <t>Edge Case</t>
        </is>
      </c>
      <c r="F20" s="12" t="inlineStr">
        <is>
          <t>Account A; choose a date range with NO patients (e.g. start_date in the far past with no registrations, or a future-narrow window with no data).</t>
        </is>
      </c>
      <c r="G20" s="12" t="inlineStr">
        <is>
          <t>1. Open /analytics (Patient).
2. Pick a custom range that contains no patient/registration data.
3. Observe StatCards and charts.</t>
        </is>
      </c>
      <c r="H20" s="12" t="inlineStr">
        <is>
          <t>Custom range with no records (e.g. 2026-05-01 to 2026-05-02 on an empty dataset)</t>
        </is>
      </c>
      <c r="I20" s="12" t="inlineStr">
        <is>
          <t>StatCards show '0' (Total/New Patients/Total Forms). Charts render empty axes with no bars/lines instead of erroring. Deaths cards show 0 and 0.0. No JS error in console.</t>
        </is>
      </c>
      <c r="J20" s="12" t="inlineStr">
        <is>
          <t>GET /api/analytics/dashboard</t>
        </is>
      </c>
      <c r="K20" s="14" t="inlineStr"/>
      <c r="L20" s="15" t="inlineStr">
        <is>
          <t>Not Executed</t>
        </is>
      </c>
      <c r="M20" s="15" t="inlineStr"/>
      <c r="N20" s="15" t="inlineStr"/>
      <c r="O20" s="15" t="inlineStr"/>
      <c r="P20" s="14" t="inlineStr"/>
    </row>
    <row r="21" ht="105" customHeight="1">
      <c r="A21" s="16" t="inlineStr">
        <is>
          <t>ANL-020</t>
        </is>
      </c>
      <c r="B21" s="17" t="inlineStr">
        <is>
          <t>Form Analysis View</t>
        </is>
      </c>
      <c r="C21" s="17" t="inlineStr">
        <is>
          <t>Forms tab loads four StatCards from /analytics/forms</t>
        </is>
      </c>
      <c r="D21" s="21" t="inlineStr">
        <is>
          <t>High</t>
        </is>
      </c>
      <c r="E21" s="17" t="inlineStr">
        <is>
          <t>Functional</t>
        </is>
      </c>
      <c r="F21" s="17" t="inlineStr">
        <is>
          <t>Account A; forms + submissions exist in the window.</t>
        </is>
      </c>
      <c r="G21" s="17" t="inlineStr">
        <is>
          <t>1. Click the 'Forms' tab.
2. Read the four StatCards.
3. Compare to the /api/analytics/forms summary.</t>
        </is>
      </c>
      <c r="H21" s="17" t="inlineStr">
        <is>
          <t>N/A</t>
        </is>
      </c>
      <c r="I21" s="17" t="inlineStr">
        <is>
          <t>Total Forms = summary.total_forms, Total Submissions = summary.total_submissions, Completion Rate = average_completion_rate% , Avg Completion Time = average_completion_time_minutes min. Values match the API. A GET /api/analytics/forms request fires when the tab activates.</t>
        </is>
      </c>
      <c r="J21" s="17" t="inlineStr">
        <is>
          <t>GET /api/analytics/forms</t>
        </is>
      </c>
      <c r="K21" s="14" t="inlineStr"/>
      <c r="L21" s="15" t="inlineStr">
        <is>
          <t>Not Executed</t>
        </is>
      </c>
      <c r="M21" s="15" t="inlineStr"/>
      <c r="N21" s="15" t="inlineStr"/>
      <c r="O21" s="15" t="inlineStr"/>
      <c r="P21" s="14" t="inlineStr"/>
    </row>
    <row r="22" ht="75" customHeight="1">
      <c r="A22" s="16" t="inlineStr">
        <is>
          <t>ANL-021</t>
        </is>
      </c>
      <c r="B22" s="17" t="inlineStr">
        <is>
          <t>Form Analysis View</t>
        </is>
      </c>
      <c r="C22" s="17" t="inlineStr">
        <is>
          <t>Completion funnel + submission/verification rates render</t>
        </is>
      </c>
      <c r="D22" s="18" t="inlineStr">
        <is>
          <t>Medium</t>
        </is>
      </c>
      <c r="E22" s="17" t="inlineStr">
        <is>
          <t>Functional</t>
        </is>
      </c>
      <c r="F22" s="17" t="inlineStr">
        <is>
          <t>Account A on Forms tab with completion_funnel data.</t>
        </is>
      </c>
      <c r="G22" s="17" t="inlineStr">
        <is>
          <t>1. Inspect the 'Form Completion Funnel' card.
2. Read the Submission Rate and Verification Rate figures.</t>
        </is>
      </c>
      <c r="H22" s="17" t="inlineStr">
        <is>
          <t>N/A</t>
        </is>
      </c>
      <c r="I22" s="17" t="inlineStr">
        <is>
          <t>Horizontal bars for Started / Submitted / Verified with values from completion_funnel. The two stat lines show completion_funnel.submission_rate% (green) and verification_rate% (purple).</t>
        </is>
      </c>
      <c r="J22" s="17" t="inlineStr">
        <is>
          <t>GET /api/analytics/forms</t>
        </is>
      </c>
      <c r="K22" s="14" t="inlineStr"/>
      <c r="L22" s="15" t="inlineStr">
        <is>
          <t>Not Executed</t>
        </is>
      </c>
      <c r="M22" s="15" t="inlineStr"/>
      <c r="N22" s="15" t="inlineStr"/>
      <c r="O22" s="15" t="inlineStr"/>
      <c r="P22" s="14" t="inlineStr"/>
    </row>
    <row r="23" ht="90" customHeight="1">
      <c r="A23" s="16" t="inlineStr">
        <is>
          <t>ANL-022</t>
        </is>
      </c>
      <c r="B23" s="17" t="inlineStr">
        <is>
          <t>Form Analysis View</t>
        </is>
      </c>
      <c r="C23" s="17" t="inlineStr">
        <is>
          <t>Submission Status pie, Top Forms bar, and Submission Trends line render</t>
        </is>
      </c>
      <c r="D23" s="18" t="inlineStr">
        <is>
          <t>Medium</t>
        </is>
      </c>
      <c r="E23" s="17" t="inlineStr">
        <is>
          <t>Functional</t>
        </is>
      </c>
      <c r="F23" s="17" t="inlineStr">
        <is>
          <t>Account A on Forms tab with data.</t>
        </is>
      </c>
      <c r="G23" s="17" t="inlineStr">
        <is>
          <t>1. Inspect 'Submission Status' pie (labels Name: %).
2. Inspect 'Top Forms by Usage' bar (names truncated to 20 chars + ...).
3. Inspect 'Form Submission Trends' line.</t>
        </is>
      </c>
      <c r="H23" s="17" t="inlineStr">
        <is>
          <t>N/A</t>
        </is>
      </c>
      <c r="I23" s="17" t="inlineStr">
        <is>
          <t>Status pie slices = status_breakdown (status capitalised, value=count, label %). Top Forms bars = top_forms[].submissions with form_name truncated past 20 chars. Trends line plots submission_trends[].month/.submissions.</t>
        </is>
      </c>
      <c r="J23" s="17" t="inlineStr">
        <is>
          <t>GET /api/analytics/forms</t>
        </is>
      </c>
      <c r="K23" s="14" t="inlineStr"/>
      <c r="L23" s="15" t="inlineStr">
        <is>
          <t>Not Executed</t>
        </is>
      </c>
      <c r="M23" s="15" t="inlineStr"/>
      <c r="N23" s="15" t="inlineStr"/>
      <c r="O23" s="15" t="inlineStr"/>
      <c r="P23" s="14" t="inlineStr"/>
    </row>
    <row r="24" ht="60" customHeight="1">
      <c r="A24" s="16" t="inlineStr">
        <is>
          <t>ANL-023</t>
        </is>
      </c>
      <c r="B24" s="17" t="inlineStr">
        <is>
          <t>Form Analysis View</t>
        </is>
      </c>
      <c r="C24" s="17" t="inlineStr">
        <is>
          <t>'Advanced Form Analytics Hub' button navigates to /analytics/forms</t>
        </is>
      </c>
      <c r="D24" s="22" t="inlineStr">
        <is>
          <t>Low</t>
        </is>
      </c>
      <c r="E24" s="17" t="inlineStr">
        <is>
          <t>Functional</t>
        </is>
      </c>
      <c r="F24" s="17" t="inlineStr">
        <is>
          <t>Account A on Forms tab.</t>
        </is>
      </c>
      <c r="G24" s="17" t="inlineStr">
        <is>
          <t>1. Click the 'Advanced Form Analytics Hub' button (shown only on the Forms tab).
2. Observe the route change.</t>
        </is>
      </c>
      <c r="H24" s="17" t="inlineStr">
        <is>
          <t>N/A</t>
        </is>
      </c>
      <c r="I24" s="17" t="inlineStr">
        <is>
          <t>Navigates to /analytics/forms (Advanced Form Analytics Hub). Deep testing of that page is OUT OF SCOPE — only confirm it loads under the view_analytics guard.</t>
        </is>
      </c>
      <c r="J24" s="17" t="inlineStr">
        <is>
          <t>N/A</t>
        </is>
      </c>
      <c r="K24" s="14" t="inlineStr"/>
      <c r="L24" s="15" t="inlineStr">
        <is>
          <t>Not Executed</t>
        </is>
      </c>
      <c r="M24" s="15" t="inlineStr"/>
      <c r="N24" s="15" t="inlineStr"/>
      <c r="O24" s="15" t="inlineStr"/>
      <c r="P24" s="14" t="inlineStr"/>
    </row>
    <row r="25" ht="45" customHeight="1">
      <c r="A25" s="16" t="inlineStr">
        <is>
          <t>ANL-024</t>
        </is>
      </c>
      <c r="B25" s="17" t="inlineStr">
        <is>
          <t>Form Analysis View</t>
        </is>
      </c>
      <c r="C25" s="17" t="inlineStr">
        <is>
          <t>Forms tab with no submissions shows zero stats and empty charts</t>
        </is>
      </c>
      <c r="D25" s="18" t="inlineStr">
        <is>
          <t>Medium</t>
        </is>
      </c>
      <c r="E25" s="17" t="inlineStr">
        <is>
          <t>Edge Case</t>
        </is>
      </c>
      <c r="F25" s="17" t="inlineStr">
        <is>
          <t>Account A; pick a window with no submissions.</t>
        </is>
      </c>
      <c r="G25" s="17" t="inlineStr">
        <is>
          <t>1. On the Forms tab, set a date range with no form submissions.
2. Observe StatCards and charts.</t>
        </is>
      </c>
      <c r="H25" s="17" t="inlineStr">
        <is>
          <t>Custom empty window</t>
        </is>
      </c>
      <c r="I25" s="17" t="inlineStr">
        <is>
          <t>StatCards show 0 / 0% / 0 min; funnel, pie, bar and line charts render empty without error. No console crash.</t>
        </is>
      </c>
      <c r="J25" s="17" t="inlineStr">
        <is>
          <t>GET /api/analytics/forms</t>
        </is>
      </c>
      <c r="K25" s="14" t="inlineStr"/>
      <c r="L25" s="15" t="inlineStr">
        <is>
          <t>Not Executed</t>
        </is>
      </c>
      <c r="M25" s="15" t="inlineStr"/>
      <c r="N25" s="15" t="inlineStr"/>
      <c r="O25" s="15" t="inlineStr"/>
      <c r="P25" s="14" t="inlineStr"/>
    </row>
    <row r="26" ht="60" customHeight="1">
      <c r="A26" s="16" t="inlineStr">
        <is>
          <t>ANL-025</t>
        </is>
      </c>
      <c r="B26" s="17" t="inlineStr">
        <is>
          <t>Form Analysis View</t>
        </is>
      </c>
      <c r="C26" s="17" t="inlineStr">
        <is>
          <t>Forms API failure surfaces the dashboard error panel</t>
        </is>
      </c>
      <c r="D26" s="18" t="inlineStr">
        <is>
          <t>Medium</t>
        </is>
      </c>
      <c r="E26" s="17" t="inlineStr">
        <is>
          <t>Negative</t>
        </is>
      </c>
      <c r="F26" s="17" t="inlineStr">
        <is>
          <t>Account A on Forms tab; ability to force 500 on /analytics/forms.</t>
        </is>
      </c>
      <c r="G26" s="17" t="inlineStr">
        <is>
          <t>1. Force GET /api/analytics/forms to return 500 (or block).
2. Refresh the Forms view.
3. Observe the page.</t>
        </is>
      </c>
      <c r="H26" s="17" t="inlineStr">
        <is>
          <t>N/A</t>
        </is>
      </c>
      <c r="I26" s="17" t="inlineStr">
        <is>
          <t>The shared 'Error loading dashboard' panel appears with the error text and 'Try Again'. (The dashboard's error state is shared across views.) No crash.</t>
        </is>
      </c>
      <c r="J26" s="17" t="inlineStr">
        <is>
          <t>GET /api/analytics/forms</t>
        </is>
      </c>
      <c r="K26" s="14" t="inlineStr"/>
      <c r="L26" s="15" t="inlineStr">
        <is>
          <t>Not Executed</t>
        </is>
      </c>
      <c r="M26" s="15" t="inlineStr"/>
      <c r="N26" s="15" t="inlineStr"/>
      <c r="O26" s="15" t="inlineStr"/>
      <c r="P26" s="14" t="inlineStr"/>
    </row>
    <row r="27" ht="135" customHeight="1">
      <c r="A27" s="11" t="inlineStr">
        <is>
          <t>ANL-026</t>
        </is>
      </c>
      <c r="B27" s="12" t="inlineStr">
        <is>
          <t>Vitals Analysis View</t>
        </is>
      </c>
      <c r="C27" s="12" t="inlineStr">
        <is>
          <t>Vitals tab loads KPI cards (Patients Tracked, Deaths, Avg Visits)</t>
        </is>
      </c>
      <c r="D27" s="13" t="inlineStr">
        <is>
          <t>High</t>
        </is>
      </c>
      <c r="E27" s="12" t="inlineStr">
        <is>
          <t>Functional</t>
        </is>
      </c>
      <c r="F27" s="12" t="inlineStr">
        <is>
          <t>Account A; vitals + deaths data present.</t>
        </is>
      </c>
      <c r="G27" s="12" t="inlineStr">
        <is>
          <t>1. Click the 'Vitals' tab.
2. Observe the three KPI cards while/after loading.
3. Inspect the parallel requests in Network.</t>
        </is>
      </c>
      <c r="H27" s="12" t="inlineStr">
        <is>
          <t>window_days=30</t>
        </is>
      </c>
      <c r="I27" s="12" t="inlineStr">
        <is>
          <t>On mount, vitals/summary, vitals/distribution and deaths/impact?window_days=30 fire in parallel. 'Patients Tracked' = total_patients_with_vitals; 'Deaths (last 30 days)' = deaths_in_window; 'Avg Visits Before Death' = avg_visits_before_death (1 dp) or em-dash when null. A simple 'Loading vitals analytics...' message shows during the fetch.</t>
        </is>
      </c>
      <c r="J27" s="12" t="inlineStr">
        <is>
          <t>GET /api/analytics/vitals/summary, GET /api/analytics/vitals/distribution, GET /api/analytics/deaths/impact</t>
        </is>
      </c>
      <c r="K27" s="14" t="inlineStr"/>
      <c r="L27" s="15" t="inlineStr">
        <is>
          <t>Not Executed</t>
        </is>
      </c>
      <c r="M27" s="15" t="inlineStr"/>
      <c r="N27" s="15" t="inlineStr"/>
      <c r="O27" s="15" t="inlineStr"/>
      <c r="P27" s="14" t="inlineStr"/>
    </row>
    <row r="28" ht="105" customHeight="1">
      <c r="A28" s="11" t="inlineStr">
        <is>
          <t>ANL-027</t>
        </is>
      </c>
      <c r="B28" s="12" t="inlineStr">
        <is>
          <t>Vitals Analysis View</t>
        </is>
      </c>
      <c r="C28" s="12" t="inlineStr">
        <is>
          <t>Vitals Distribution chart switches across all 7 vital toggles</t>
        </is>
      </c>
      <c r="D28" s="19" t="inlineStr">
        <is>
          <t>Medium</t>
        </is>
      </c>
      <c r="E28" s="12" t="inlineStr">
        <is>
          <t>Functional</t>
        </is>
      </c>
      <c r="F28" s="12" t="inlineStr">
        <is>
          <t>Account A on Vitals tab with distribution data.</t>
        </is>
      </c>
      <c r="G28" s="12" t="inlineStr">
        <is>
          <t>1. Default vital is BP Systolic; note the chart.
2. Click each toggle in turn: BP Diastolic, Pulse Rate, SpO2, Temperature, Resp. Rate, GRBS.
3. Read the 'Normal range' footnote for each.</t>
        </is>
      </c>
      <c r="H28" s="12" t="inlineStr">
        <is>
          <t>vitals: bp_systolic, bp_diastolic, pr, spo2, temperature, rr, grbs</t>
        </is>
      </c>
      <c r="I28" s="12" t="inlineStr">
        <is>
          <t>Each toggle re-renders the distribution bar chart from distributionData[vital].buckets (no new network call — distribution is fetched once). The footnote shows that vital's normal_range, unit and total patient count. Selected toggle is highlighted blue.</t>
        </is>
      </c>
      <c r="J28" s="12" t="inlineStr">
        <is>
          <t>GET /api/analytics/vitals/distribution</t>
        </is>
      </c>
      <c r="K28" s="14" t="inlineStr"/>
      <c r="L28" s="15" t="inlineStr">
        <is>
          <t>Not Executed</t>
        </is>
      </c>
      <c r="M28" s="15" t="inlineStr"/>
      <c r="N28" s="15" t="inlineStr"/>
      <c r="O28" s="15" t="inlineStr"/>
      <c r="P28" s="14" t="inlineStr"/>
    </row>
    <row r="29" ht="90" customHeight="1">
      <c r="A29" s="11" t="inlineStr">
        <is>
          <t>ANL-028</t>
        </is>
      </c>
      <c r="B29" s="12" t="inlineStr">
        <is>
          <t>Vitals Analysis View</t>
        </is>
      </c>
      <c r="C29" s="12" t="inlineStr">
        <is>
          <t>Vitals vs ESAS/PPS correlation toggles between score types</t>
        </is>
      </c>
      <c r="D29" s="19" t="inlineStr">
        <is>
          <t>Medium</t>
        </is>
      </c>
      <c r="E29" s="12" t="inlineStr">
        <is>
          <t>Functional</t>
        </is>
      </c>
      <c r="F29" s="12" t="inlineStr">
        <is>
          <t>Account A on Vitals tab.</t>
        </is>
      </c>
      <c r="G29" s="12" t="inlineStr">
        <is>
          <t>1. Observe the correlation chart (default ESAS).
2. Click 'PPS Score'.
3. Inspect the new /api/analytics/vitals/correlation request param.</t>
        </is>
      </c>
      <c r="H29" s="12" t="inlineStr">
        <is>
          <t>score_type=esas then pps</t>
        </is>
      </c>
      <c r="I29" s="12" t="inlineStr">
        <is>
          <t>Switching to PPS fires GET /api/analytics/vitals/correlation?score_type=pps and the chart + title update to 'Vitals vs PPS Correlation'. The subtitle shows patients_with_both count when present. Switching back to ESAS refetches score_type=esas.</t>
        </is>
      </c>
      <c r="J29" s="12" t="inlineStr">
        <is>
          <t>GET /api/analytics/vitals/correlation</t>
        </is>
      </c>
      <c r="K29" s="14" t="inlineStr"/>
      <c r="L29" s="15" t="inlineStr">
        <is>
          <t>Not Executed</t>
        </is>
      </c>
      <c r="M29" s="15" t="inlineStr"/>
      <c r="N29" s="15" t="inlineStr"/>
      <c r="O29" s="15" t="inlineStr"/>
      <c r="P29" s="14" t="inlineStr"/>
    </row>
    <row r="30" ht="60" customHeight="1">
      <c r="A30" s="11" t="inlineStr">
        <is>
          <t>ANL-029</t>
        </is>
      </c>
      <c r="B30" s="12" t="inlineStr">
        <is>
          <t>Vitals Analysis View</t>
        </is>
      </c>
      <c r="C30" s="12" t="inlineStr">
        <is>
          <t>Vitals charts show empty-state text when no data</t>
        </is>
      </c>
      <c r="D30" s="19" t="inlineStr">
        <is>
          <t>Medium</t>
        </is>
      </c>
      <c r="E30" s="12" t="inlineStr">
        <is>
          <t>Edge Case</t>
        </is>
      </c>
      <c r="F30" s="12" t="inlineStr">
        <is>
          <t>Account A; dataset with no follow-up vitals / no correlation pairs.</t>
        </is>
      </c>
      <c r="G30" s="12" t="inlineStr">
        <is>
          <t>1. Open the Vitals tab on a dataset with no usable vitals.
2. Observe the distribution and correlation cards.</t>
        </is>
      </c>
      <c r="H30" s="12" t="inlineStr">
        <is>
          <t>N/A</t>
        </is>
      </c>
      <c r="I30" s="12" t="inlineStr">
        <is>
          <t>Distribution card shows 'No distribution data'; correlation card shows 'No correlation data'. KPI cards show 0 / em-dash. No crash.</t>
        </is>
      </c>
      <c r="J30" s="12" t="inlineStr">
        <is>
          <t>GET /api/analytics/vitals/distribution, GET /api/analytics/vitals/correlation</t>
        </is>
      </c>
      <c r="K30" s="14" t="inlineStr"/>
      <c r="L30" s="15" t="inlineStr">
        <is>
          <t>Not Executed</t>
        </is>
      </c>
      <c r="M30" s="15" t="inlineStr"/>
      <c r="N30" s="15" t="inlineStr"/>
      <c r="O30" s="15" t="inlineStr"/>
      <c r="P30" s="14" t="inlineStr"/>
    </row>
    <row r="31" ht="90" customHeight="1">
      <c r="A31" s="11" t="inlineStr">
        <is>
          <t>ANL-030</t>
        </is>
      </c>
      <c r="B31" s="12" t="inlineStr">
        <is>
          <t>Vitals Analysis View</t>
        </is>
      </c>
      <c r="C31" s="12" t="inlineStr">
        <is>
          <t>Deaths/impact failure degrades gracefully on the Vitals tab</t>
        </is>
      </c>
      <c r="D31" s="19" t="inlineStr">
        <is>
          <t>Medium</t>
        </is>
      </c>
      <c r="E31" s="12" t="inlineStr">
        <is>
          <t>Negative</t>
        </is>
      </c>
      <c r="F31" s="12" t="inlineStr">
        <is>
          <t>Account A on Vitals tab; force deaths/impact to fail.</t>
        </is>
      </c>
      <c r="G31" s="12" t="inlineStr">
        <is>
          <t>1. Block GET /api/analytics/deaths/impact only.
2. Open the Vitals tab.
3. Observe the KPI cards.</t>
        </is>
      </c>
      <c r="H31" s="12" t="inlineStr">
        <is>
          <t>N/A</t>
        </is>
      </c>
      <c r="I31" s="12" t="inlineStr">
        <is>
          <t>The deaths fetch is caught (.catch returns {data:null}); Deaths and Avg-Visits cards fall back to 0 / em-dash while Patients-Tracked and the distribution chart still render. No error panel, no crash (failure is isolated).</t>
        </is>
      </c>
      <c r="J31" s="12" t="inlineStr">
        <is>
          <t>GET /api/analytics/deaths/impact</t>
        </is>
      </c>
      <c r="K31" s="14" t="inlineStr"/>
      <c r="L31" s="15" t="inlineStr">
        <is>
          <t>Not Executed</t>
        </is>
      </c>
      <c r="M31" s="15" t="inlineStr"/>
      <c r="N31" s="15" t="inlineStr"/>
      <c r="O31" s="15" t="inlineStr"/>
      <c r="P31" s="14" t="inlineStr"/>
    </row>
    <row r="32" ht="165" customHeight="1">
      <c r="A32" s="16" t="inlineStr">
        <is>
          <t>ANL-031</t>
        </is>
      </c>
      <c r="B32" s="17" t="inlineStr">
        <is>
          <t>Donor / ToC View</t>
        </is>
      </c>
      <c r="C32" s="17" t="inlineStr">
        <is>
          <t>Donor tab loads all 14 endpoints and Row-1/Row-2 StatTiles</t>
        </is>
      </c>
      <c r="D32" s="21" t="inlineStr">
        <is>
          <t>High</t>
        </is>
      </c>
      <c r="E32" s="17" t="inlineStr">
        <is>
          <t>Functional</t>
        </is>
      </c>
      <c r="F32" s="17" t="inlineStr">
        <is>
          <t>Account A; donor data populated; default real-data mode.</t>
        </is>
      </c>
      <c r="G32" s="17" t="inlineStr">
        <is>
          <t>1. Click 'Donor / ToC'.
2. In Network, confirm the parallel /api/analytics/donor/* calls.
3. Read the StatTiles (New registrations, Unique patients seen, Total visits, Home-care first/follow-up, Deaths, Consultations, Multi-disciplinary, Patients on opioids, KMs covered, Lost to follow-up, Telemedicine).</t>
        </is>
      </c>
      <c r="H32" s="17" t="inlineStr">
        <is>
          <t>period=monthly, default Last-12-months range</t>
        </is>
      </c>
      <c r="I32" s="17" t="inlineStr">
        <is>
          <t>Fourteen donor endpoints fire (overview, visits-timeline, deaths-timeline, consultations-mix, distance-timeline, opioid-usage, telemedicine-timeline, multidisciplinary, followups, place-of-death-by-zone, loss-to-followup, vehicle-utilization, enrollment-to-death, registration-to-first-visit). StatTiles populate from each response with previous-period delta badges (TrendingUp/Down or 'No prior data'). Numbers use Indian grouping (en-IN).</t>
        </is>
      </c>
      <c r="J32" s="17" t="inlineStr">
        <is>
          <t>GET /api/analytics/donor/overview (+13 others)</t>
        </is>
      </c>
      <c r="K32" s="14" t="inlineStr"/>
      <c r="L32" s="15" t="inlineStr">
        <is>
          <t>Not Executed</t>
        </is>
      </c>
      <c r="M32" s="15" t="inlineStr"/>
      <c r="N32" s="15" t="inlineStr"/>
      <c r="O32" s="15" t="inlineStr"/>
      <c r="P32" s="14" t="inlineStr"/>
    </row>
    <row r="33" ht="75" customHeight="1">
      <c r="A33" s="16" t="inlineStr">
        <is>
          <t>ANL-032</t>
        </is>
      </c>
      <c r="B33" s="17" t="inlineStr">
        <is>
          <t>Donor / ToC View</t>
        </is>
      </c>
      <c r="C33" s="17" t="inlineStr">
        <is>
          <t>Period selector changes bucketing param on timeline endpoints</t>
        </is>
      </c>
      <c r="D33" s="18" t="inlineStr">
        <is>
          <t>Medium</t>
        </is>
      </c>
      <c r="E33" s="17" t="inlineStr">
        <is>
          <t>Functional</t>
        </is>
      </c>
      <c r="F33" s="17" t="inlineStr">
        <is>
          <t>Account A on Donor tab (real data).</t>
        </is>
      </c>
      <c r="G33" s="17" t="inlineStr">
        <is>
          <t>1. Open the Period Select (default Monthly).
2. Choose 'Quarterly', then 'Yearly', then 'Daily'.
3. Inspect the period query param on the donor timeline calls each time.</t>
        </is>
      </c>
      <c r="H33" s="17" t="inlineStr">
        <is>
          <t>period=daily|monthly|quarterly|yearly</t>
        </is>
      </c>
      <c r="I33" s="17" t="inlineStr">
        <is>
          <t>Each selection refetches the donor data with the chosen period value; the visits/deaths/opioid/telemedicine/followup timelines re-bucket accordingly. The Period selector is DISABLED while demo mode is on.</t>
        </is>
      </c>
      <c r="J33" s="17" t="inlineStr">
        <is>
          <t>GET /api/analytics/donor/visits-timeline, /deaths-timeline, /opioid-usage, /telemedicine-timeline, /followups</t>
        </is>
      </c>
      <c r="K33" s="14" t="inlineStr"/>
      <c r="L33" s="15" t="inlineStr">
        <is>
          <t>Not Executed</t>
        </is>
      </c>
      <c r="M33" s="15" t="inlineStr"/>
      <c r="N33" s="15" t="inlineStr"/>
      <c r="O33" s="15" t="inlineStr"/>
      <c r="P33" s="14" t="inlineStr"/>
    </row>
    <row r="34" ht="165" customHeight="1">
      <c r="A34" s="16" t="inlineStr">
        <is>
          <t>ANL-033</t>
        </is>
      </c>
      <c r="B34" s="17" t="inlineStr">
        <is>
          <t>Donor / ToC View</t>
        </is>
      </c>
      <c r="C34" s="17" t="inlineStr">
        <is>
          <t>Demo/real-data toggle switches to fabricated mock data (no API)</t>
        </is>
      </c>
      <c r="D34" s="21" t="inlineStr">
        <is>
          <t>High</t>
        </is>
      </c>
      <c r="E34" s="17" t="inlineStr">
        <is>
          <t>Data Integrity</t>
        </is>
      </c>
      <c r="F34" s="17" t="inlineStr">
        <is>
          <t>Account A on Donor tab; DevTools Network open.</t>
        </is>
      </c>
      <c r="G34" s="17" t="inlineStr">
        <is>
          <t>1. Note the toggle label reads 'Real data' by default.
2. Flip the Switch so it reads 'Showing demo data'.
3. Watch Network and the on-screen amber banner.</t>
        </is>
      </c>
      <c r="H34" s="17" t="inlineStr">
        <is>
          <t>N/A</t>
        </is>
      </c>
      <c r="I34" s="17" t="inlineStr">
        <is>
          <t>Flipping the toggle to demo mode fills every card from getMockDonorData() and makes NO /api/analytics/donor/* network calls. An amber banner appears: 'Demo mode — showing fabricated 12-month data ...'. DEFECT/RISK to flag for go-live: a user could present mock numbers (e.g. 104 deaths, 165-patient first-visit cohort) believing they are real if the toggle is left on. Verify it defaults to Real data after a page reload.</t>
        </is>
      </c>
      <c r="J34" s="17" t="inlineStr">
        <is>
          <t>N/A (mock data path)</t>
        </is>
      </c>
      <c r="K34" s="14" t="inlineStr"/>
      <c r="L34" s="15" t="inlineStr">
        <is>
          <t>Not Executed</t>
        </is>
      </c>
      <c r="M34" s="15" t="inlineStr"/>
      <c r="N34" s="15" t="inlineStr"/>
      <c r="O34" s="15" t="inlineStr"/>
      <c r="P34" s="14" t="inlineStr"/>
    </row>
    <row r="35" ht="120" customHeight="1">
      <c r="A35" s="16" t="inlineStr">
        <is>
          <t>ANL-034</t>
        </is>
      </c>
      <c r="B35" s="17" t="inlineStr">
        <is>
          <t>Donor / ToC View</t>
        </is>
      </c>
      <c r="C35" s="17" t="inlineStr">
        <is>
          <t>Real-data mode shows true empty states when DB has no records</t>
        </is>
      </c>
      <c r="D35" s="18" t="inlineStr">
        <is>
          <t>Medium</t>
        </is>
      </c>
      <c r="E35" s="17" t="inlineStr">
        <is>
          <t>Edge Case</t>
        </is>
      </c>
      <c r="F35" s="17" t="inlineStr">
        <is>
          <t>Account A on Donor tab in real-data mode; sparse/empty DB for the window.</t>
        </is>
      </c>
      <c r="G35" s="17" t="inlineStr">
        <is>
          <t>1. Ensure demo toggle is OFF (Real data).
2. Select a window with no donor activity.
3. Inspect each card.</t>
        </is>
      </c>
      <c r="H35" s="17" t="inlineStr">
        <is>
          <t>Empty window</t>
        </is>
      </c>
      <c r="I35" s="17" t="inlineStr">
        <is>
          <t>Cards show their specific empty messages, e.g. 'No visits recorded for this period.', 'No place-of-death records yet...', 'No opioid dispensations detected...', 'No teleconsult sessions in this period.', 'No patients with a first completed visit in this window.' StatTiles show 0 / em-dash. No mock numbers leak in.</t>
        </is>
      </c>
      <c r="J35" s="17" t="inlineStr">
        <is>
          <t>GET /api/analytics/donor/* (real)</t>
        </is>
      </c>
      <c r="K35" s="14" t="inlineStr"/>
      <c r="L35" s="15" t="inlineStr">
        <is>
          <t>Not Executed</t>
        </is>
      </c>
      <c r="M35" s="15" t="inlineStr"/>
      <c r="N35" s="15" t="inlineStr"/>
      <c r="O35" s="15" t="inlineStr"/>
      <c r="P35" s="14" t="inlineStr"/>
    </row>
    <row r="36" ht="120" customHeight="1">
      <c r="A36" s="16" t="inlineStr">
        <is>
          <t>ANL-035</t>
        </is>
      </c>
      <c r="B36" s="17" t="inlineStr">
        <is>
          <t>Donor / ToC View</t>
        </is>
      </c>
      <c r="C36" s="17" t="inlineStr">
        <is>
          <t>Time-to-first-visit card shows within/outside target + distribution</t>
        </is>
      </c>
      <c r="D36" s="18" t="inlineStr">
        <is>
          <t>Medium</t>
        </is>
      </c>
      <c r="E36" s="17" t="inlineStr">
        <is>
          <t>Functional</t>
        </is>
      </c>
      <c r="F36" s="17" t="inlineStr">
        <is>
          <t>Account A on Donor tab; first-visit cohort present.</t>
        </is>
      </c>
      <c r="G36" s="17" t="inlineStr">
        <is>
          <t>1. Locate the 'Time to first visit' card.
2. Read the within-target / outside-target / median·p90 tiles and the distribution bars.</t>
        </is>
      </c>
      <c r="H36" s="17" t="inlineStr">
        <is>
          <t>target_homecare_days=8 (default)</t>
        </is>
      </c>
      <c r="I36" s="17" t="inlineStr">
        <is>
          <t>Card shows 'Target &lt;= 8 home-care days' badge; within_target / cohort_size, within_target_pct, outside_target, median and p90 HC-days. Distribution bars are green when the bucket's upper bound &lt;= target, amber otherwise. Empty cohort shows 'No patients with a first completed visit in this window.'</t>
        </is>
      </c>
      <c r="J36" s="17" t="inlineStr">
        <is>
          <t>GET /api/analytics/donor/registration-to-first-visit</t>
        </is>
      </c>
      <c r="K36" s="14" t="inlineStr"/>
      <c r="L36" s="15" t="inlineStr">
        <is>
          <t>Not Executed</t>
        </is>
      </c>
      <c r="M36" s="15" t="inlineStr"/>
      <c r="N36" s="15" t="inlineStr"/>
      <c r="O36" s="15" t="inlineStr"/>
      <c r="P36" s="14" t="inlineStr"/>
    </row>
    <row r="37" ht="90" customHeight="1">
      <c r="A37" s="16" t="inlineStr">
        <is>
          <t>ANL-036</t>
        </is>
      </c>
      <c r="B37" s="17" t="inlineStr">
        <is>
          <t>Donor / ToC View</t>
        </is>
      </c>
      <c r="C37" s="17" t="inlineStr">
        <is>
          <t>Donor Refresh and browser-print PDF controls work</t>
        </is>
      </c>
      <c r="D37" s="22" t="inlineStr">
        <is>
          <t>Low</t>
        </is>
      </c>
      <c r="E37" s="17" t="inlineStr">
        <is>
          <t>Functional</t>
        </is>
      </c>
      <c r="F37" s="17" t="inlineStr">
        <is>
          <t>Account A on Donor tab.</t>
        </is>
      </c>
      <c r="G37" s="17" t="inlineStr">
        <is>
          <t>1. Click the donor-local Refresh button; observe spinner and refetch.
2. Click the 'PDF' button.
3. Observe the browser print dialog.</t>
        </is>
      </c>
      <c r="H37" s="17" t="inlineStr">
        <is>
          <t>N/A</t>
        </is>
      </c>
      <c r="I37" s="17" t="inlineStr">
        <is>
          <t>Refresh re-issues all donor calls (or re-reads mock in demo mode) with the spinner animating. The 'PDF' button calls window.print() opening the browser's native print/save-as-PDF dialog (it is NOT the jsPDF ExportButton). No crash.</t>
        </is>
      </c>
      <c r="J37" s="17" t="inlineStr">
        <is>
          <t xml:space="preserve">GET /api/analytics/donor/* </t>
        </is>
      </c>
      <c r="K37" s="14" t="inlineStr"/>
      <c r="L37" s="15" t="inlineStr">
        <is>
          <t>Not Executed</t>
        </is>
      </c>
      <c r="M37" s="15" t="inlineStr"/>
      <c r="N37" s="15" t="inlineStr"/>
      <c r="O37" s="15" t="inlineStr"/>
      <c r="P37" s="14" t="inlineStr"/>
    </row>
    <row r="38" ht="120" customHeight="1">
      <c r="A38" s="16" t="inlineStr">
        <is>
          <t>ANL-037</t>
        </is>
      </c>
      <c r="B38" s="17" t="inlineStr">
        <is>
          <t>Donor / ToC View</t>
        </is>
      </c>
      <c r="C38" s="17" t="inlineStr">
        <is>
          <t>Donor view error banner on API failure (real-data mode)</t>
        </is>
      </c>
      <c r="D38" s="18" t="inlineStr">
        <is>
          <t>Medium</t>
        </is>
      </c>
      <c r="E38" s="17" t="inlineStr">
        <is>
          <t>Negative</t>
        </is>
      </c>
      <c r="F38" s="17" t="inlineStr">
        <is>
          <t>Account A on Donor tab; force one donor endpoint to 500.</t>
        </is>
      </c>
      <c r="G38" s="17" t="inlineStr">
        <is>
          <t>1. In real-data mode, force e.g. GET /api/analytics/donor/overview to 500.
2. Refresh the donor view.
3. Observe.</t>
        </is>
      </c>
      <c r="H38" s="17" t="inlineStr">
        <is>
          <t>N/A</t>
        </is>
      </c>
      <c r="I38" s="17" t="inlineStr">
        <is>
          <t>Because all 14 calls are awaited together in a single Promise.all, one failure rejects the batch and a red error card appears with the server message ('Failed to load donor metrics'); no card data is shown. No crash. (Flag: a single endpoint failure blanks the whole donor view rather than degrading per-card.)</t>
        </is>
      </c>
      <c r="J38" s="17" t="inlineStr">
        <is>
          <t>GET /api/analytics/donor/overview</t>
        </is>
      </c>
      <c r="K38" s="14" t="inlineStr"/>
      <c r="L38" s="15" t="inlineStr">
        <is>
          <t>Not Executed</t>
        </is>
      </c>
      <c r="M38" s="15" t="inlineStr"/>
      <c r="N38" s="15" t="inlineStr"/>
      <c r="O38" s="15" t="inlineStr"/>
      <c r="P38" s="14" t="inlineStr"/>
    </row>
    <row r="39" ht="105" customHeight="1">
      <c r="A39" s="16" t="inlineStr">
        <is>
          <t>ANL-038</t>
        </is>
      </c>
      <c r="B39" s="17" t="inlineStr">
        <is>
          <t>Donor / ToC View</t>
        </is>
      </c>
      <c r="C39" s="17" t="inlineStr">
        <is>
          <t>loss-to-followup ignores period/date params</t>
        </is>
      </c>
      <c r="D39" s="22" t="inlineStr">
        <is>
          <t>Low</t>
        </is>
      </c>
      <c r="E39" s="17" t="inlineStr">
        <is>
          <t>API</t>
        </is>
      </c>
      <c r="F39" s="17" t="inlineStr">
        <is>
          <t>Account A on Donor tab; DevTools Network open.</t>
        </is>
      </c>
      <c r="G39" s="17" t="inlineStr">
        <is>
          <t>1. Open the Donor tab.
2. Inspect the GET /api/analytics/donor/loss-to-followup request query string.</t>
        </is>
      </c>
      <c r="H39" s="17" t="inlineStr">
        <is>
          <t>threshold_days default 60</t>
        </is>
      </c>
      <c r="I39" s="17" t="inlineStr">
        <is>
          <t>The loss-to-followup call is sent WITHOUT start_date/end_date/period (only the headers are passed) — by design it reports current overdue patients regardless of the selected range. The 'Lost to follow-up' StatTile shows total_count and the threshold_days footer.</t>
        </is>
      </c>
      <c r="J39" s="17" t="inlineStr">
        <is>
          <t>GET /api/analytics/donor/loss-to-followup</t>
        </is>
      </c>
      <c r="K39" s="14" t="inlineStr"/>
      <c r="L39" s="15" t="inlineStr">
        <is>
          <t>Not Executed</t>
        </is>
      </c>
      <c r="M39" s="15" t="inlineStr"/>
      <c r="N39" s="15" t="inlineStr"/>
      <c r="O39" s="15" t="inlineStr"/>
      <c r="P39" s="14" t="inlineStr"/>
    </row>
    <row r="40" ht="105" customHeight="1">
      <c r="A40" s="11" t="inlineStr">
        <is>
          <t>ANL-039</t>
        </is>
      </c>
      <c r="B40" s="12" t="inlineStr">
        <is>
          <t>Date Range Picker</t>
        </is>
      </c>
      <c r="C40" s="12" t="inlineStr">
        <is>
          <t>Quick-select presets update the range and refetch</t>
        </is>
      </c>
      <c r="D40" s="13" t="inlineStr">
        <is>
          <t>High</t>
        </is>
      </c>
      <c r="E40" s="12" t="inlineStr">
        <is>
          <t>Functional</t>
        </is>
      </c>
      <c r="F40" s="12" t="inlineStr">
        <is>
          <t>Account A on /analytics (Patient); DevTools Network open.</t>
        </is>
      </c>
      <c r="G40" s="12" t="inlineStr">
        <is>
          <t>1. Open the 'Quick select' dropdown.
2. Choose 'Last 7 days'; observe the picker label and new request params.
3. Repeat for 'Last 30 days', 'Last 3 months', 'Last 6 months', 'Last 12 months', 'Year to date'.</t>
        </is>
      </c>
      <c r="H40" s="12" t="inlineStr">
        <is>
          <t>presets: last7days, last30days, last3months, last6months, last12months, ytd</t>
        </is>
      </c>
      <c r="I40" s="12" t="inlineStr">
        <is>
          <t>Each preset sets from/to per its getDates() (e.g. Year to date = Jan 1 of current year -&gt; today) and the picker label updates to 'MMM d, yyyy - MMM d, yyyy'. A fresh /api/analytics/dashboard request fires with start_date/end_date matching the chosen range.</t>
        </is>
      </c>
      <c r="J40" s="12" t="inlineStr">
        <is>
          <t>GET /api/analytics/dashboard</t>
        </is>
      </c>
      <c r="K40" s="14" t="inlineStr"/>
      <c r="L40" s="15" t="inlineStr">
        <is>
          <t>Not Executed</t>
        </is>
      </c>
      <c r="M40" s="15" t="inlineStr"/>
      <c r="N40" s="15" t="inlineStr"/>
      <c r="O40" s="15" t="inlineStr"/>
      <c r="P40" s="14" t="inlineStr"/>
    </row>
    <row r="41" ht="90" customHeight="1">
      <c r="A41" s="11" t="inlineStr">
        <is>
          <t>ANL-040</t>
        </is>
      </c>
      <c r="B41" s="12" t="inlineStr">
        <is>
          <t>Date Range Picker</t>
        </is>
      </c>
      <c r="C41" s="12" t="inlineStr">
        <is>
          <t>Custom calendar range selection refetches with new dates</t>
        </is>
      </c>
      <c r="D41" s="13" t="inlineStr">
        <is>
          <t>High</t>
        </is>
      </c>
      <c r="E41" s="12" t="inlineStr">
        <is>
          <t>Functional</t>
        </is>
      </c>
      <c r="F41" s="12" t="inlineStr">
        <is>
          <t>Account A on Patient view.</t>
        </is>
      </c>
      <c r="G41" s="12" t="inlineStr">
        <is>
          <t>1. Click the date-range button to open the 2-month calendar.
2. Click a start date (e.g. Jan 1, 2026) then an end date (e.g. May 31, 2026).
3. Inspect the new dashboard request params.</t>
        </is>
      </c>
      <c r="H41" s="12" t="inlineStr">
        <is>
          <t>2026-01-01 to 2026-05-31</t>
        </is>
      </c>
      <c r="I41" s="12" t="inlineStr">
        <is>
          <t>The selected from/to apply; the button shows 'Jan 1, 2026 - May 31, 2026'. A new /api/analytics/dashboard request fires with start_date/end_date as ISO timestamps covering the picked range. Charts/StatCards update.</t>
        </is>
      </c>
      <c r="J41" s="12" t="inlineStr">
        <is>
          <t>GET /api/analytics/dashboard</t>
        </is>
      </c>
      <c r="K41" s="14" t="inlineStr"/>
      <c r="L41" s="15" t="inlineStr">
        <is>
          <t>Not Executed</t>
        </is>
      </c>
      <c r="M41" s="15" t="inlineStr"/>
      <c r="N41" s="15" t="inlineStr"/>
      <c r="O41" s="15" t="inlineStr"/>
      <c r="P41" s="14" t="inlineStr"/>
    </row>
    <row r="42" ht="60" customHeight="1">
      <c r="A42" s="11" t="inlineStr">
        <is>
          <t>ANL-041</t>
        </is>
      </c>
      <c r="B42" s="12" t="inlineStr">
        <is>
          <t>Date Range Picker</t>
        </is>
      </c>
      <c r="C42" s="12" t="inlineStr">
        <is>
          <t>Future dates are disabled in the calendar</t>
        </is>
      </c>
      <c r="D42" s="19" t="inlineStr">
        <is>
          <t>Medium</t>
        </is>
      </c>
      <c r="E42" s="12" t="inlineStr">
        <is>
          <t>Validation</t>
        </is>
      </c>
      <c r="F42" s="12" t="inlineStr">
        <is>
          <t>Account A on Patient view; today = 2026-06-01.</t>
        </is>
      </c>
      <c r="G42" s="12" t="inlineStr">
        <is>
          <t>1. Open the custom calendar.
2. Attempt to click any date after today (e.g. tomorrow / a future month).
3. Also attempt a date before 1900-01-01.</t>
        </is>
      </c>
      <c r="H42" s="12" t="inlineStr">
        <is>
          <t>future date (e.g. 2026-06-02); pre-1900 date</t>
        </is>
      </c>
      <c r="I42" s="12" t="inlineStr">
        <is>
          <t>Future dates (&gt; today) and dates &lt; 1900-01-01 are visually disabled and not selectable (disabled prop on Calendar). The range cannot extend into the future.</t>
        </is>
      </c>
      <c r="J42" s="12" t="inlineStr">
        <is>
          <t>N/A</t>
        </is>
      </c>
      <c r="K42" s="14" t="inlineStr"/>
      <c r="L42" s="15" t="inlineStr">
        <is>
          <t>Not Executed</t>
        </is>
      </c>
      <c r="M42" s="15" t="inlineStr"/>
      <c r="N42" s="15" t="inlineStr"/>
      <c r="O42" s="15" t="inlineStr"/>
      <c r="P42" s="14" t="inlineStr"/>
    </row>
    <row r="43" ht="165" customHeight="1">
      <c r="A43" s="11" t="inlineStr">
        <is>
          <t>ANL-042</t>
        </is>
      </c>
      <c r="B43" s="12" t="inlineStr">
        <is>
          <t>Date Range Picker</t>
        </is>
      </c>
      <c r="C43" s="12" t="inlineStr">
        <is>
          <t>Selecting end-before-start (reverse) range behaviour</t>
        </is>
      </c>
      <c r="D43" s="19" t="inlineStr">
        <is>
          <t>Medium</t>
        </is>
      </c>
      <c r="E43" s="12" t="inlineStr">
        <is>
          <t>Negative</t>
        </is>
      </c>
      <c r="F43" s="12" t="inlineStr">
        <is>
          <t>Account A on Patient view.</t>
        </is>
      </c>
      <c r="G43" s="12" t="inlineStr">
        <is>
          <t>1. Open the custom calendar (mode=range).
2. Click a later date first (e.g. May 31, 2026), then an earlier date (e.g. Jan 1, 2026).
3. Observe the resulting from/to and the request sent.</t>
        </is>
      </c>
      <c r="H43" s="12" t="inlineStr">
        <is>
          <t>first click 2026-05-31, second click 2026-01-01</t>
        </is>
      </c>
      <c r="I43" s="12" t="inlineStr">
        <is>
          <t>There is NO explicit application-level validation rejecting an inverted range; the react-day-picker range mode normalises the selection so from &lt;= to. Confirm the picker does not produce a request with end_date before start_date and the dashboard does not crash. FLAG: if a malformed/single-ended range is ever produced, start_date/end_date are sent via optional chaining (may be undefined) — verify the backend tolerates a missing bound.</t>
        </is>
      </c>
      <c r="J43" s="12" t="inlineStr">
        <is>
          <t>GET /api/analytics/dashboard</t>
        </is>
      </c>
      <c r="K43" s="14" t="inlineStr"/>
      <c r="L43" s="15" t="inlineStr">
        <is>
          <t>Not Executed</t>
        </is>
      </c>
      <c r="M43" s="15" t="inlineStr"/>
      <c r="N43" s="15" t="inlineStr"/>
      <c r="O43" s="15" t="inlineStr"/>
      <c r="P43" s="14" t="inlineStr"/>
    </row>
    <row r="44" ht="150" customHeight="1">
      <c r="A44" s="11" t="inlineStr">
        <is>
          <t>ANL-043</t>
        </is>
      </c>
      <c r="B44" s="12" t="inlineStr">
        <is>
          <t>Date Range Picker</t>
        </is>
      </c>
      <c r="C44" s="12" t="inlineStr">
        <is>
          <t>Date range change re-fetches every data-driven view</t>
        </is>
      </c>
      <c r="D44" s="13" t="inlineStr">
        <is>
          <t>High</t>
        </is>
      </c>
      <c r="E44" s="12" t="inlineStr">
        <is>
          <t>Functional</t>
        </is>
      </c>
      <c r="F44" s="12" t="inlineStr">
        <is>
          <t>Account A; DevTools Network open.</t>
        </is>
      </c>
      <c r="G44" s="12" t="inlineStr">
        <is>
          <t>1. On the Patient view, change the range and confirm a dashboard refetch.
2. Switch to Donor / ToC and change the range; confirm donor calls use the new start_date/end_date.
3. Note: Vitals view does NOT take the dashboard date range.</t>
        </is>
      </c>
      <c r="H44" s="12" t="inlineStr">
        <is>
          <t>Last 3 months</t>
        </is>
      </c>
      <c r="I44" s="12" t="inlineStr">
        <is>
          <t>Patient view refetches /dashboard on range change; Donor view refetches all /donor/* with the new YYYY-MM-DD start/end (donor formats dates as yyyy-MM-dd, while the Patient dashboard sends full ISO timestamps). The Vitals tab's own fetches are NOT parameterised by the dashboard date range (they always use window_days=30 / no range) — document this as expected current behaviour.</t>
        </is>
      </c>
      <c r="J44" s="12" t="inlineStr">
        <is>
          <t>GET /api/analytics/dashboard, GET /api/analytics/donor/*</t>
        </is>
      </c>
      <c r="K44" s="14" t="inlineStr"/>
      <c r="L44" s="15" t="inlineStr">
        <is>
          <t>Not Executed</t>
        </is>
      </c>
      <c r="M44" s="15" t="inlineStr"/>
      <c r="N44" s="15" t="inlineStr"/>
      <c r="O44" s="15" t="inlineStr"/>
      <c r="P44" s="14" t="inlineStr"/>
    </row>
    <row r="45" ht="90" customHeight="1">
      <c r="A45" s="11" t="inlineStr">
        <is>
          <t>ANL-044</t>
        </is>
      </c>
      <c r="B45" s="12" t="inlineStr">
        <is>
          <t>Date Range Picker</t>
        </is>
      </c>
      <c r="C45" s="12" t="inlineStr">
        <is>
          <t>Very wide date range performance</t>
        </is>
      </c>
      <c r="D45" s="20" t="inlineStr">
        <is>
          <t>Low</t>
        </is>
      </c>
      <c r="E45" s="12" t="inlineStr">
        <is>
          <t>Edge Case</t>
        </is>
      </c>
      <c r="F45" s="12" t="inlineStr">
        <is>
          <t>Account A; large dataset.</t>
        </is>
      </c>
      <c r="G45" s="12" t="inlineStr">
        <is>
          <t>1. Set a custom range spanning several years (e.g. 2020-01-01 to 2026-06-01).
2. Switch to Donor with period=daily.
3. Measure load time and observe chart density.</t>
        </is>
      </c>
      <c r="H45" s="12" t="inlineStr">
        <is>
          <t>2020-01-01 to 2026-06-01, period=daily</t>
        </is>
      </c>
      <c r="I45" s="12" t="inlineStr">
        <is>
          <t>The dashboard/donor calls complete within an acceptable time (note actual seconds); charts remain readable or gracefully dense; no timeout, blank screen or browser hang. Record any slowness &gt; a few seconds as a performance observation.</t>
        </is>
      </c>
      <c r="J45" s="12" t="inlineStr">
        <is>
          <t>GET /api/analytics/dashboard, GET /api/analytics/donor/*</t>
        </is>
      </c>
      <c r="K45" s="14" t="inlineStr"/>
      <c r="L45" s="15" t="inlineStr">
        <is>
          <t>Not Executed</t>
        </is>
      </c>
      <c r="M45" s="15" t="inlineStr"/>
      <c r="N45" s="15" t="inlineStr"/>
      <c r="O45" s="15" t="inlineStr"/>
      <c r="P45" s="14" t="inlineStr"/>
    </row>
    <row r="46" ht="180" customHeight="1">
      <c r="A46" s="16" t="inlineStr">
        <is>
          <t>ANL-045</t>
        </is>
      </c>
      <c r="B46" s="17" t="inlineStr">
        <is>
          <t>Export</t>
        </is>
      </c>
      <c r="C46" s="17" t="inlineStr">
        <is>
          <t>Export &gt; PDF Report downloads a patient PDF reflecting current data</t>
        </is>
      </c>
      <c r="D46" s="21" t="inlineStr">
        <is>
          <t>High</t>
        </is>
      </c>
      <c r="E46" s="17" t="inlineStr">
        <is>
          <t>Functional</t>
        </is>
      </c>
      <c r="F46" s="17" t="inlineStr">
        <is>
          <t>Account A on Patient view with data.</t>
        </is>
      </c>
      <c r="G46" s="17" t="inlineStr">
        <is>
          <t>1. Click 'Export' to open the dropdown.
2. Click 'PDF Report'.
3. Open the downloaded file.</t>
        </is>
      </c>
      <c r="H46" s="17" t="inlineStr">
        <is>
          <t>N/A</t>
        </is>
      </c>
      <c r="I46" s="17" t="inlineStr">
        <is>
          <t>A file 'analytics-report-YYYY-MM-DD.pdf' downloads. It contains the title 'Patient Analytics Report', the period line matching the current date range, a Summary Statistics table (Total/New/Active Patients, Total Forms, Form Completion Rate, Avg Response Time), plus Age Distribution and Gender Distribution tables. While generating, the button reads 'Exporting...'. NOTE: the PDF/CSV header is branded 'CV Raman Health' — flag as a branding defect for a Saranam go-live.</t>
        </is>
      </c>
      <c r="J46" s="17" t="inlineStr">
        <is>
          <t>N/A (client-side jsPDF)</t>
        </is>
      </c>
      <c r="K46" s="14" t="inlineStr"/>
      <c r="L46" s="15" t="inlineStr">
        <is>
          <t>Not Executed</t>
        </is>
      </c>
      <c r="M46" s="15" t="inlineStr"/>
      <c r="N46" s="15" t="inlineStr"/>
      <c r="O46" s="15" t="inlineStr"/>
      <c r="P46" s="14" t="inlineStr"/>
    </row>
    <row r="47" ht="90" customHeight="1">
      <c r="A47" s="16" t="inlineStr">
        <is>
          <t>ANL-046</t>
        </is>
      </c>
      <c r="B47" s="17" t="inlineStr">
        <is>
          <t>Export</t>
        </is>
      </c>
      <c r="C47" s="17" t="inlineStr">
        <is>
          <t>Export &gt; CSV Data downloads a patient CSV</t>
        </is>
      </c>
      <c r="D47" s="21" t="inlineStr">
        <is>
          <t>High</t>
        </is>
      </c>
      <c r="E47" s="17" t="inlineStr">
        <is>
          <t>Functional</t>
        </is>
      </c>
      <c r="F47" s="17" t="inlineStr">
        <is>
          <t>Account A on Patient view with data.</t>
        </is>
      </c>
      <c r="G47" s="17" t="inlineStr">
        <is>
          <t>1. Click 'Export' &gt; 'CSV Data'.
2. Open the downloaded CSV.</t>
        </is>
      </c>
      <c r="H47" s="17" t="inlineStr">
        <is>
          <t>N/A</t>
        </is>
      </c>
      <c r="I47" s="17" t="inlineStr">
        <is>
          <t>A file 'analytics-report-YYYY-MM-DD.csv' downloads with header 'CV Raman Health - Analytics Report', the period line, a Summary Statistics block, and Age/Gender Distribution sections — values matching the on-screen Patient view.</t>
        </is>
      </c>
      <c r="J47" s="17" t="inlineStr">
        <is>
          <t>N/A (client-side)</t>
        </is>
      </c>
      <c r="K47" s="14" t="inlineStr"/>
      <c r="L47" s="15" t="inlineStr">
        <is>
          <t>Not Executed</t>
        </is>
      </c>
      <c r="M47" s="15" t="inlineStr"/>
      <c r="N47" s="15" t="inlineStr"/>
      <c r="O47" s="15" t="inlineStr"/>
      <c r="P47" s="14" t="inlineStr"/>
    </row>
    <row r="48" ht="105" customHeight="1">
      <c r="A48" s="16" t="inlineStr">
        <is>
          <t>ANL-047</t>
        </is>
      </c>
      <c r="B48" s="17" t="inlineStr">
        <is>
          <t>Export</t>
        </is>
      </c>
      <c r="C48" s="17" t="inlineStr">
        <is>
          <t>Export on the Forms view produces a form-flavoured report</t>
        </is>
      </c>
      <c r="D48" s="18" t="inlineStr">
        <is>
          <t>Medium</t>
        </is>
      </c>
      <c r="E48" s="17" t="inlineStr">
        <is>
          <t>Functional</t>
        </is>
      </c>
      <c r="F48" s="17" t="inlineStr">
        <is>
          <t>Account A on Forms tab with data.</t>
        </is>
      </c>
      <c r="G48" s="17" t="inlineStr">
        <is>
          <t>1. On the Forms tab, click Export &gt; PDF Report, then Export &gt; CSV Data.
2. Open both files.</t>
        </is>
      </c>
      <c r="H48" s="17" t="inlineStr">
        <is>
          <t>N/A</t>
        </is>
      </c>
      <c r="I48" s="17" t="inlineStr">
        <is>
          <t>Files titled 'Form Analytics Report' (PDF) contain Total Forms / Total Submissions / Avg Completion Rate / Avg Completion Time, plus Submission Status Breakdown and Top Forms by Usage tables. CSV mirrors these sections. Content matches the current Forms data and date range.</t>
        </is>
      </c>
      <c r="J48" s="17" t="inlineStr">
        <is>
          <t>N/A (client-side)</t>
        </is>
      </c>
      <c r="K48" s="14" t="inlineStr"/>
      <c r="L48" s="15" t="inlineStr">
        <is>
          <t>Not Executed</t>
        </is>
      </c>
      <c r="M48" s="15" t="inlineStr"/>
      <c r="N48" s="15" t="inlineStr"/>
      <c r="O48" s="15" t="inlineStr"/>
      <c r="P48" s="14" t="inlineStr"/>
    </row>
    <row r="49" ht="90" customHeight="1">
      <c r="A49" s="16" t="inlineStr">
        <is>
          <t>ANL-048</t>
        </is>
      </c>
      <c r="B49" s="17" t="inlineStr">
        <is>
          <t>Export</t>
        </is>
      </c>
      <c r="C49" s="17" t="inlineStr">
        <is>
          <t>Export respects the active date range / filter</t>
        </is>
      </c>
      <c r="D49" s="18" t="inlineStr">
        <is>
          <t>Medium</t>
        </is>
      </c>
      <c r="E49" s="17" t="inlineStr">
        <is>
          <t>Data Integrity</t>
        </is>
      </c>
      <c r="F49" s="17" t="inlineStr">
        <is>
          <t>Account A on Patient view.</t>
        </is>
      </c>
      <c r="G49" s="17" t="inlineStr">
        <is>
          <t>1. Set a specific custom range (e.g. 2026-01-01 to 2026-03-31) and/or patient_type=new.
2. Export to PDF.
3. Check the period line and figures in the file.</t>
        </is>
      </c>
      <c r="H49" s="17" t="inlineStr">
        <is>
          <t>2026-01-01 to 2026-03-31, patient_type=new</t>
        </is>
      </c>
      <c r="I49" s="17" t="inlineStr">
        <is>
          <t>The exported file's period line reads the chosen range and the summary/age/gender figures equal the currently displayed (filtered) data — i.e. export uses the same in-memory data the view rendered, not a fresh full-DB pull.</t>
        </is>
      </c>
      <c r="J49" s="17" t="inlineStr">
        <is>
          <t>N/A (client-side)</t>
        </is>
      </c>
      <c r="K49" s="14" t="inlineStr"/>
      <c r="L49" s="15" t="inlineStr">
        <is>
          <t>Not Executed</t>
        </is>
      </c>
      <c r="M49" s="15" t="inlineStr"/>
      <c r="N49" s="15" t="inlineStr"/>
      <c r="O49" s="15" t="inlineStr"/>
      <c r="P49" s="14" t="inlineStr"/>
    </row>
    <row r="50" ht="75" customHeight="1">
      <c r="A50" s="16" t="inlineStr">
        <is>
          <t>ANL-049</t>
        </is>
      </c>
      <c r="B50" s="17" t="inlineStr">
        <is>
          <t>Export</t>
        </is>
      </c>
      <c r="C50" s="17" t="inlineStr">
        <is>
          <t>Export with empty data does not crash and yields an empty report</t>
        </is>
      </c>
      <c r="D50" s="18" t="inlineStr">
        <is>
          <t>Medium</t>
        </is>
      </c>
      <c r="E50" s="17" t="inlineStr">
        <is>
          <t>Edge Case</t>
        </is>
      </c>
      <c r="F50" s="17" t="inlineStr">
        <is>
          <t>Account A; Patient view on an empty date window.</t>
        </is>
      </c>
      <c r="G50" s="17" t="inlineStr">
        <is>
          <t>1. Choose a range with no data so StatCards show 0.
2. Click Export &gt; PDF, then Export &gt; CSV.
3. Open the files.</t>
        </is>
      </c>
      <c r="H50" s="17" t="inlineStr">
        <is>
          <t>Empty window</t>
        </is>
      </c>
      <c r="I50" s="17" t="inlineStr">
        <is>
          <t>Files still download. Summary tables show 'N/A' / 0 values; Age and Gender sections are omitted (length 0 guards). No error alert ('Failed to generate ...') and no console crash.</t>
        </is>
      </c>
      <c r="J50" s="17" t="inlineStr">
        <is>
          <t>N/A (client-side)</t>
        </is>
      </c>
      <c r="K50" s="14" t="inlineStr"/>
      <c r="L50" s="15" t="inlineStr">
        <is>
          <t>Not Executed</t>
        </is>
      </c>
      <c r="M50" s="15" t="inlineStr"/>
      <c r="N50" s="15" t="inlineStr"/>
      <c r="O50" s="15" t="inlineStr"/>
      <c r="P50" s="14" t="inlineStr"/>
    </row>
    <row r="51" ht="150" customHeight="1">
      <c r="A51" s="16" t="inlineStr">
        <is>
          <t>ANL-050</t>
        </is>
      </c>
      <c r="B51" s="17" t="inlineStr">
        <is>
          <t>Export</t>
        </is>
      </c>
      <c r="C51" s="17" t="inlineStr">
        <is>
          <t>Export on Vitals / Donor tabs produces an empty/near-empty report (no view-specific data)</t>
        </is>
      </c>
      <c r="D51" s="18" t="inlineStr">
        <is>
          <t>Medium</t>
        </is>
      </c>
      <c r="E51" s="17" t="inlineStr">
        <is>
          <t>Edge Case</t>
        </is>
      </c>
      <c r="F51" s="17" t="inlineStr">
        <is>
          <t>Account A on the Vitals tab, then the Donor tab.</t>
        </is>
      </c>
      <c r="G51" s="17" t="inlineStr">
        <is>
          <t>1. On the Vitals tab, click the top-bar Export &gt; PDF.
2. On the Donor tab, click the top-bar Export &gt; PDF.
3. Open the files.</t>
        </is>
      </c>
      <c r="H51" s="17" t="inlineStr">
        <is>
          <t>N/A</t>
        </is>
      </c>
      <c r="I51" s="17" t="inlineStr">
        <is>
          <t>The top-bar ExportButton only builds data for the 'patient' and 'form' viewTypes; for 'vitals' and 'donor' the exportData prop is null, so the report contains only the title (defaults to 'Patient Analytics Report' since viewType isn't 'form') and date line with no statistics tables. FLAG: top-bar Export does not capture Vitals or Donor content — Donor has its own separate window.print() PDF button instead.</t>
        </is>
      </c>
      <c r="J51" s="17" t="inlineStr">
        <is>
          <t>N/A (client-side)</t>
        </is>
      </c>
      <c r="K51" s="14" t="inlineStr"/>
      <c r="L51" s="15" t="inlineStr">
        <is>
          <t>Not Executed</t>
        </is>
      </c>
      <c r="M51" s="15" t="inlineStr"/>
      <c r="N51" s="15" t="inlineStr"/>
      <c r="O51" s="15" t="inlineStr"/>
      <c r="P51" s="14" t="inlineStr"/>
    </row>
    <row r="52" ht="120" customHeight="1">
      <c r="A52" s="11" t="inlineStr">
        <is>
          <t>ANL-051</t>
        </is>
      </c>
      <c r="B52" s="12" t="inlineStr">
        <is>
          <t>Cross-Module Data Integrity</t>
        </is>
      </c>
      <c r="C52" s="12" t="inlineStr">
        <is>
          <t>Total Patients figure matches the Patients module</t>
        </is>
      </c>
      <c r="D52" s="13" t="inlineStr">
        <is>
          <t>High</t>
        </is>
      </c>
      <c r="E52" s="12" t="inlineStr">
        <is>
          <t>Data Integrity</t>
        </is>
      </c>
      <c r="F52" s="12" t="inlineStr">
        <is>
          <t>Account A; known patient count from the Patients list.</t>
        </is>
      </c>
      <c r="G52" s="12" t="inlineStr">
        <is>
          <t>1. Open the Patients module and note the total patient count (for an equivalent all-time / wide range).
2. Open /analytics (Patient) with a date range that covers all patients (e.g. Last 12 months or wider).
3. Compare the 'Total Patients' StatCard to the Patients-module count.</t>
        </is>
      </c>
      <c r="H52" s="12" t="inlineStr">
        <is>
          <t>Reference total patient count</t>
        </is>
      </c>
      <c r="I52" s="12" t="inlineStr">
        <is>
          <t>The 'Total Patients' value is consistent with the Patients module count for the same scope (allowing for date-range / status scoping rules). Any discrepancy is recorded with the exact numbers and the ranges used.</t>
        </is>
      </c>
      <c r="J52" s="12" t="inlineStr">
        <is>
          <t>GET /api/analytics/dashboard</t>
        </is>
      </c>
      <c r="K52" s="14" t="inlineStr"/>
      <c r="L52" s="15" t="inlineStr">
        <is>
          <t>Not Executed</t>
        </is>
      </c>
      <c r="M52" s="15" t="inlineStr"/>
      <c r="N52" s="15" t="inlineStr"/>
      <c r="O52" s="15" t="inlineStr"/>
      <c r="P52" s="14" t="inlineStr"/>
    </row>
    <row r="53" ht="90" customHeight="1">
      <c r="A53" s="11" t="inlineStr">
        <is>
          <t>ANL-052</t>
        </is>
      </c>
      <c r="B53" s="12" t="inlineStr">
        <is>
          <t>Cross-Module Data Integrity</t>
        </is>
      </c>
      <c r="C53" s="12" t="inlineStr">
        <is>
          <t>Newly added patient appears in analytics after refresh</t>
        </is>
      </c>
      <c r="D53" s="19" t="inlineStr">
        <is>
          <t>Medium</t>
        </is>
      </c>
      <c r="E53" s="12" t="inlineStr">
        <is>
          <t>Data Integrity</t>
        </is>
      </c>
      <c r="F53" s="12" t="inlineStr">
        <is>
          <t>Account A; ability to register a patient.</t>
        </is>
      </c>
      <c r="G53" s="12" t="inlineStr">
        <is>
          <t>1. Note Total Patients / New Patients on the Patient view.
2. Register a new patient (dated within the selected range) via the Patients module.
3. Return to /analytics and click Refresh (or change and restore the range).</t>
        </is>
      </c>
      <c r="H53" s="12" t="inlineStr">
        <is>
          <t>New patient dated 2026-06-01</t>
        </is>
      </c>
      <c r="I53" s="12" t="inlineStr">
        <is>
          <t>After refresh, Total Patients (and New Patients, if in the new-patient window) increments by 1 and the registration-trend chart reflects the addition. No stale cache.</t>
        </is>
      </c>
      <c r="J53" s="12" t="inlineStr">
        <is>
          <t>GET /api/analytics/dashboard</t>
        </is>
      </c>
      <c r="K53" s="14" t="inlineStr"/>
      <c r="L53" s="15" t="inlineStr">
        <is>
          <t>Not Executed</t>
        </is>
      </c>
      <c r="M53" s="15" t="inlineStr"/>
      <c r="N53" s="15" t="inlineStr"/>
      <c r="O53" s="15" t="inlineStr"/>
      <c r="P53" s="14" t="inlineStr"/>
    </row>
    <row r="54" ht="75" customHeight="1">
      <c r="A54" s="11" t="inlineStr">
        <is>
          <t>ANL-053</t>
        </is>
      </c>
      <c r="B54" s="12" t="inlineStr">
        <is>
          <t>Cross-Module Data Integrity</t>
        </is>
      </c>
      <c r="C54" s="12" t="inlineStr">
        <is>
          <t>Deaths(30d) matches deceased patients marked in the last 30 days</t>
        </is>
      </c>
      <c r="D54" s="19" t="inlineStr">
        <is>
          <t>Medium</t>
        </is>
      </c>
      <c r="E54" s="12" t="inlineStr">
        <is>
          <t>Data Integrity</t>
        </is>
      </c>
      <c r="F54" s="12" t="inlineStr">
        <is>
          <t>Account A; known set of patients marked deceased in last 30 days.</t>
        </is>
      </c>
      <c r="G54" s="12" t="inlineStr">
        <is>
          <t>1. From the Patients module, count patients with a death date within the last 30 days.
2. Open /analytics (Patient) and read 'Deaths (Last 30 Days)'.
3. Compare.</t>
        </is>
      </c>
      <c r="H54" s="12" t="inlineStr">
        <is>
          <t>window_days=30</t>
        </is>
      </c>
      <c r="I54" s="12" t="inlineStr">
        <is>
          <t>The Deaths (Last 30 Days) KPI equals the count of patients with a death date in the trailing 30-day window. The same figure appears on the Vitals tab 'Deaths (last 30 days)' card.</t>
        </is>
      </c>
      <c r="J54" s="12" t="inlineStr">
        <is>
          <t>GET /api/analytics/deaths/impact</t>
        </is>
      </c>
      <c r="K54" s="14" t="inlineStr"/>
      <c r="L54" s="15" t="inlineStr">
        <is>
          <t>Not Executed</t>
        </is>
      </c>
      <c r="M54" s="15" t="inlineStr"/>
      <c r="N54" s="15" t="inlineStr"/>
      <c r="O54" s="15" t="inlineStr"/>
      <c r="P54" s="14" t="inlineStr"/>
    </row>
    <row r="55" ht="150" customHeight="1">
      <c r="A55" s="16" t="inlineStr">
        <is>
          <t>ANL-054</t>
        </is>
      </c>
      <c r="B55" s="17" t="inlineStr">
        <is>
          <t>Session &amp; Network</t>
        </is>
      </c>
      <c r="C55" s="17" t="inlineStr">
        <is>
          <t>Expired token on analytics calls does NOT silently refresh (raw axios)</t>
        </is>
      </c>
      <c r="D55" s="18" t="inlineStr">
        <is>
          <t>Medium</t>
        </is>
      </c>
      <c r="E55" s="17" t="inlineStr">
        <is>
          <t>Negative</t>
        </is>
      </c>
      <c r="F55" s="17" t="inlineStr">
        <is>
          <t>Account A; valid refresh_token present; ability to expire access_token.</t>
        </is>
      </c>
      <c r="G55" s="17" t="inlineStr">
        <is>
          <t>1. Open /analytics.
2. Expire/replace the access_token with an invalid one (keep a valid refresh_token).
3. Trigger a refetch (Refresh or range change) and watch Network.</t>
        </is>
      </c>
      <c r="H55" s="17" t="inlineStr">
        <is>
          <t>N/A</t>
        </is>
      </c>
      <c r="I55" s="17" t="inlineStr">
        <is>
          <t>The /api/analytics/* call returns 401 and the view shows an error state — there is NO automatic POST /auth/refresh retry, because the dashboard/vitals/donor calls use a raw axios instance rather than the shared apiClient interceptor. FLAG this inconsistency: other modules auto-refresh on 401, analytics does not. (Compare with API calls made through apiClient elsewhere which would refresh-and-retry.)</t>
        </is>
      </c>
      <c r="J55" s="17" t="inlineStr">
        <is>
          <t>GET /api/analytics/dashboard</t>
        </is>
      </c>
      <c r="K55" s="14" t="inlineStr"/>
      <c r="L55" s="15" t="inlineStr">
        <is>
          <t>Not Executed</t>
        </is>
      </c>
      <c r="M55" s="15" t="inlineStr"/>
      <c r="N55" s="15" t="inlineStr"/>
      <c r="O55" s="15" t="inlineStr"/>
      <c r="P55" s="14" t="inlineStr"/>
    </row>
    <row r="56" ht="90" customHeight="1">
      <c r="A56" s="16" t="inlineStr">
        <is>
          <t>ANL-055</t>
        </is>
      </c>
      <c r="B56" s="17" t="inlineStr">
        <is>
          <t>Session &amp; Network</t>
        </is>
      </c>
      <c r="C56" s="17" t="inlineStr">
        <is>
          <t>Network timeout / offline shows an error, not a crash</t>
        </is>
      </c>
      <c r="D56" s="18" t="inlineStr">
        <is>
          <t>Medium</t>
        </is>
      </c>
      <c r="E56" s="17" t="inlineStr">
        <is>
          <t>Negative</t>
        </is>
      </c>
      <c r="F56" s="17" t="inlineStr">
        <is>
          <t>Account A on /analytics; DevTools able to set Offline.</t>
        </is>
      </c>
      <c r="G56" s="17" t="inlineStr">
        <is>
          <t>1. Set the network to Offline (or block the API host).
2. Click Refresh on the Patient view.
3. Observe; then on the Donor view repeat.</t>
        </is>
      </c>
      <c r="H56" s="17" t="inlineStr">
        <is>
          <t>N/A</t>
        </is>
      </c>
      <c r="I56" s="17" t="inlineStr">
        <is>
          <t>Patient/Forms view shows the 'Error loading dashboard' panel with 'Try Again'; Donor view shows its red error card. No infinite spinner deadlock and no uncaught exception. Restoring the network and clicking Try Again / Refresh recovers.</t>
        </is>
      </c>
      <c r="J56" s="17" t="inlineStr">
        <is>
          <t>GET /api/analytics/dashboard, GET /api/analytics/donor/overview</t>
        </is>
      </c>
      <c r="K56" s="14" t="inlineStr"/>
      <c r="L56" s="15" t="inlineStr">
        <is>
          <t>Not Executed</t>
        </is>
      </c>
      <c r="M56" s="15" t="inlineStr"/>
      <c r="N56" s="15" t="inlineStr"/>
      <c r="O56" s="15" t="inlineStr"/>
      <c r="P56" s="14" t="inlineStr"/>
    </row>
    <row r="57" ht="75" customHeight="1">
      <c r="A57" s="11" t="inlineStr">
        <is>
          <t>ANL-056</t>
        </is>
      </c>
      <c r="B57" s="12" t="inlineStr">
        <is>
          <t>Advanced Form Analytics (Out of Scope - Guard Only)</t>
        </is>
      </c>
      <c r="C57" s="12" t="inlineStr">
        <is>
          <t>/analytics/forms loads under the view_analytics guard</t>
        </is>
      </c>
      <c r="D57" s="20" t="inlineStr">
        <is>
          <t>Low</t>
        </is>
      </c>
      <c r="E57" s="12" t="inlineStr">
        <is>
          <t>Permission</t>
        </is>
      </c>
      <c r="F57" s="12" t="inlineStr">
        <is>
          <t>Account A (has view_analytics).</t>
        </is>
      </c>
      <c r="G57" s="12" t="inlineStr">
        <is>
          <t>1. Navigate to /analytics/forms directly (or via the 'Advanced Form Analytics Hub' button).
2. Confirm the Hub page renders.</t>
        </is>
      </c>
      <c r="H57" s="12" t="inlineStr">
        <is>
          <t>N/A</t>
        </is>
      </c>
      <c r="I57" s="12" t="inlineStr">
        <is>
          <t>The Advanced Form Analytics Hub loads (it is behind ProtectedRoute requiredPermission=view_analytics). DEEP form-analytics behaviour is OUT OF SCOPE for this engagement — only confirm load + guard.</t>
        </is>
      </c>
      <c r="J57" s="12" t="inlineStr">
        <is>
          <t>N/A</t>
        </is>
      </c>
      <c r="K57" s="14" t="inlineStr"/>
      <c r="L57" s="15" t="inlineStr">
        <is>
          <t>Not Executed</t>
        </is>
      </c>
      <c r="M57" s="15" t="inlineStr"/>
      <c r="N57" s="15" t="inlineStr"/>
      <c r="O57" s="15" t="inlineStr"/>
      <c r="P57" s="14" t="inlineStr"/>
    </row>
    <row r="58" ht="60" customHeight="1">
      <c r="A58" s="11" t="inlineStr">
        <is>
          <t>ANL-057</t>
        </is>
      </c>
      <c r="B58" s="12" t="inlineStr">
        <is>
          <t>Advanced Form Analytics (Out of Scope - Guard Only)</t>
        </is>
      </c>
      <c r="C58" s="12" t="inlineStr">
        <is>
          <t>/analytics/forms and /analytics/forms/:formId blocked without permission</t>
        </is>
      </c>
      <c r="D58" s="20" t="inlineStr">
        <is>
          <t>Low</t>
        </is>
      </c>
      <c r="E58" s="12" t="inlineStr">
        <is>
          <t>Permission</t>
        </is>
      </c>
      <c r="F58" s="12" t="inlineStr">
        <is>
          <t>Account B (no view_analytics).</t>
        </is>
      </c>
      <c r="G58" s="12" t="inlineStr">
        <is>
          <t>1. As Account B, open /analytics/forms and then /analytics/forms/&lt;any-form-id&gt; directly.
2. Observe.</t>
        </is>
      </c>
      <c r="H58" s="12" t="inlineStr">
        <is>
          <t>any formId</t>
        </is>
      </c>
      <c r="I58" s="12" t="inlineStr">
        <is>
          <t>Both routes show the ProtectedRoute 'Access Denied' panel (same guard as /analytics). Deep deep-dive testing remains OUT OF SCOPE.</t>
        </is>
      </c>
      <c r="J58" s="12" t="inlineStr">
        <is>
          <t>N/A</t>
        </is>
      </c>
      <c r="K58" s="14" t="inlineStr"/>
      <c r="L58" s="15" t="inlineStr">
        <is>
          <t>Not Executed</t>
        </is>
      </c>
      <c r="M58" s="15" t="inlineStr"/>
      <c r="N58" s="15" t="inlineStr"/>
      <c r="O58" s="15" t="inlineStr"/>
      <c r="P58" s="14" t="inlineStr"/>
    </row>
  </sheetData>
  <autoFilter ref="A1:P58"/>
  <conditionalFormatting sqref="L2:L5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58" showDropDown="0" showInputMessage="0" showErrorMessage="0" allowBlank="1" type="list">
      <formula1>"Not Executed,Pass,Fail,Blocked,N/A"</formula1>
    </dataValidation>
    <dataValidation sqref="M2:M58" showDropDown="0" showInputMessage="0" showErrorMessage="0" allowBlank="1"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105" customHeight="1">
      <c r="A2" s="11" t="inlineStr">
        <is>
          <t>CL-001</t>
        </is>
      </c>
      <c r="B2" s="12" t="inlineStr">
        <is>
          <t>Permission &amp; Access</t>
        </is>
      </c>
      <c r="C2" s="12" t="inlineStr">
        <is>
          <t>Admin can open /call-logs and lands on the Dial tab</t>
        </is>
      </c>
      <c r="D2" s="13" t="inlineStr">
        <is>
          <t>High</t>
        </is>
      </c>
      <c r="E2" s="12" t="inlineStr">
        <is>
          <t>Permission</t>
        </is>
      </c>
      <c r="F2" s="12" t="inlineStr">
        <is>
          <t>Logged in as admin user; at least 1 patient and 1 provider exist.</t>
        </is>
      </c>
      <c r="G2" s="12" t="inlineStr">
        <is>
          <t>1. Log in as the admin user.
2. Navigate to https://saranam.fieldintel.ai/call-logs (or click the 'Call Logs' sidebar item).
3. Observe the page header and the active tab.</t>
        </is>
      </c>
      <c r="H2" s="12" t="inlineStr">
        <is>
          <t>admin@saranam.test</t>
        </is>
      </c>
      <c r="I2" s="12" t="inlineStr">
        <is>
          <t>Page renders with title 'Smart Outreach' and subtitle 'Integrated patient communication hub and automated call history.'. The 'Dial' tab is active by default; Dial/History/Escalated/Scheduler toggle buttons are visible; the Staff Registry sidebar is shown.</t>
        </is>
      </c>
      <c r="J2" s="12" t="inlineStr">
        <is>
          <t>GET /api/exotel/agents</t>
        </is>
      </c>
      <c r="K2" s="14" t="inlineStr"/>
      <c r="L2" s="15" t="inlineStr">
        <is>
          <t>Not Executed</t>
        </is>
      </c>
      <c r="M2" s="15" t="inlineStr"/>
      <c r="N2" s="15" t="inlineStr"/>
      <c r="O2" s="15" t="inlineStr"/>
      <c r="P2" s="14" t="inlineStr"/>
    </row>
    <row r="3" ht="60" customHeight="1">
      <c r="A3" s="11" t="inlineStr">
        <is>
          <t>CL-002</t>
        </is>
      </c>
      <c r="B3" s="12" t="inlineStr">
        <is>
          <t>Permission &amp; Access</t>
        </is>
      </c>
      <c r="C3" s="12" t="inlineStr">
        <is>
          <t>Non-admin user is blocked from /call-logs (Access Denied)</t>
        </is>
      </c>
      <c r="D3" s="13" t="inlineStr">
        <is>
          <t>High</t>
        </is>
      </c>
      <c r="E3" s="12" t="inlineStr">
        <is>
          <t>Permission</t>
        </is>
      </c>
      <c r="F3" s="12" t="inlineStr">
        <is>
          <t>Logged in as a non-admin user (role data_entry or viewer).</t>
        </is>
      </c>
      <c r="G3" s="12" t="inlineStr">
        <is>
          <t>1. Log in as a non-admin user.
2. Manually navigate to /call-logs via the URL bar.
3. Observe the rendered content.</t>
        </is>
      </c>
      <c r="H3" s="12" t="inlineStr">
        <is>
          <t>viewer@saranam.test (role=viewer)</t>
        </is>
      </c>
      <c r="I3" s="12" t="inlineStr">
        <is>
          <t>ProtectedRoute renders a full-page 'Access Denied' message ('You don't have permission to access this page.'); CallLogsPage and its API calls do NOT execute.</t>
        </is>
      </c>
      <c r="J3" s="12" t="inlineStr">
        <is>
          <t>N/A</t>
        </is>
      </c>
      <c r="K3" s="14" t="inlineStr"/>
      <c r="L3" s="15" t="inlineStr">
        <is>
          <t>Not Executed</t>
        </is>
      </c>
      <c r="M3" s="15" t="inlineStr"/>
      <c r="N3" s="15" t="inlineStr"/>
      <c r="O3" s="15" t="inlineStr"/>
      <c r="P3" s="14" t="inlineStr"/>
    </row>
    <row r="4" ht="120" customHeight="1">
      <c r="A4" s="11" t="inlineStr">
        <is>
          <t>CL-003</t>
        </is>
      </c>
      <c r="B4" s="12" t="inlineStr">
        <is>
          <t>Permission &amp; Access</t>
        </is>
      </c>
      <c r="C4" s="12" t="inlineStr">
        <is>
          <t>'Call Logs' sidebar item visibility for a non-admin (KNOWN DEFECT)</t>
        </is>
      </c>
      <c r="D4" s="13" t="inlineStr">
        <is>
          <t>High</t>
        </is>
      </c>
      <c r="E4" s="12" t="inlineStr">
        <is>
          <t>Permission</t>
        </is>
      </c>
      <c r="F4" s="12" t="inlineStr">
        <is>
          <t>Logged in as a non-admin user; DashboardLayout sidebar visible.</t>
        </is>
      </c>
      <c r="G4" s="12" t="inlineStr">
        <is>
          <t>1. Log in as a non-admin user (viewer/data_entry).
2. Open the left navigation sidebar.
3. Look for the 'Call Logs' menu item.
4. Click it if present.</t>
        </is>
      </c>
      <c r="H4" s="12" t="inlineStr">
        <is>
          <t>viewer@saranam.test</t>
        </is>
      </c>
      <c r="I4" s="12" t="inlineStr">
        <is>
          <t>EXPECTED PER REQUIREMENT: the 'Call Logs' item should be hidden for non-admins. ACTUAL (defect): the nav entry has permission:null and is filtered by `!item.permission || hasPermission(...)`, so it is ALWAYS shown; the non-admin sees 'Call Logs' and on click reaches the 'Access Denied' page. Log as FAIL and reference DEF-CL-01.</t>
        </is>
      </c>
      <c r="J4" s="12" t="inlineStr">
        <is>
          <t>N/A</t>
        </is>
      </c>
      <c r="K4" s="14" t="inlineStr"/>
      <c r="L4" s="15" t="inlineStr">
        <is>
          <t>Not Executed</t>
        </is>
      </c>
      <c r="M4" s="15" t="inlineStr"/>
      <c r="N4" s="15" t="inlineStr"/>
      <c r="O4" s="15" t="inlineStr"/>
      <c r="P4" s="14" t="inlineStr"/>
    </row>
    <row r="5" ht="45" customHeight="1">
      <c r="A5" s="11" t="inlineStr">
        <is>
          <t>CL-004</t>
        </is>
      </c>
      <c r="B5" s="12" t="inlineStr">
        <is>
          <t>Permission &amp; Access</t>
        </is>
      </c>
      <c r="C5" s="12" t="inlineStr">
        <is>
          <t>Unauthenticated user is redirected to /login</t>
        </is>
      </c>
      <c r="D5" s="13" t="inlineStr">
        <is>
          <t>High</t>
        </is>
      </c>
      <c r="E5" s="12" t="inlineStr">
        <is>
          <t>Permission</t>
        </is>
      </c>
      <c r="F5" s="12" t="inlineStr">
        <is>
          <t>No active session (localStorage cleared of access_token/user).</t>
        </is>
      </c>
      <c r="G5" s="12" t="inlineStr">
        <is>
          <t>1. Clear site data / log out so there is no user in context.
2. Navigate directly to /call-logs.</t>
        </is>
      </c>
      <c r="H5" s="12" t="inlineStr">
        <is>
          <t>N/A</t>
        </is>
      </c>
      <c r="I5" s="12" t="inlineStr">
        <is>
          <t>ProtectedRoute sees no user and redirects (Navigate replace) to /login. CallLogsPage does not render.</t>
        </is>
      </c>
      <c r="J5" s="12" t="inlineStr">
        <is>
          <t>N/A</t>
        </is>
      </c>
      <c r="K5" s="14" t="inlineStr"/>
      <c r="L5" s="15" t="inlineStr">
        <is>
          <t>Not Executed</t>
        </is>
      </c>
      <c r="M5" s="15" t="inlineStr"/>
      <c r="N5" s="15" t="inlineStr"/>
      <c r="O5" s="15" t="inlineStr"/>
      <c r="P5" s="14" t="inlineStr"/>
    </row>
    <row r="6" ht="90" customHeight="1">
      <c r="A6" s="11" t="inlineStr">
        <is>
          <t>CL-005</t>
        </is>
      </c>
      <c r="B6" s="12" t="inlineStr">
        <is>
          <t>Permission &amp; Access</t>
        </is>
      </c>
      <c r="C6" s="12" t="inlineStr">
        <is>
          <t>Expired access token on a guarded call triggers refresh then retry</t>
        </is>
      </c>
      <c r="D6" s="19" t="inlineStr">
        <is>
          <t>Medium</t>
        </is>
      </c>
      <c r="E6" s="12" t="inlineStr">
        <is>
          <t>API</t>
        </is>
      </c>
      <c r="F6" s="12" t="inlineStr">
        <is>
          <t>Logged in as admin; access_token expired but a valid refresh_token present.</t>
        </is>
      </c>
      <c r="G6" s="12" t="inlineStr">
        <is>
          <t>1. Set access_token in localStorage to an expired/invalid token, keep a valid refresh_token.
2. Open /call-logs (triggers GET /api/exotel/agents).
3. Watch the Network tab.</t>
        </is>
      </c>
      <c r="H6" s="12" t="inlineStr">
        <is>
          <t>N/A</t>
        </is>
      </c>
      <c r="I6" s="12" t="inlineStr">
        <is>
          <t>First agents call returns 401; client posts /auth/refresh with the refresh token, stores the new access_token, and retries the original request which now succeeds (200). Staff Registry populates without forcing logout.</t>
        </is>
      </c>
      <c r="J6" s="12" t="inlineStr">
        <is>
          <t>GET /api/exotel/agents</t>
        </is>
      </c>
      <c r="K6" s="14" t="inlineStr"/>
      <c r="L6" s="15" t="inlineStr">
        <is>
          <t>Not Executed</t>
        </is>
      </c>
      <c r="M6" s="15" t="inlineStr"/>
      <c r="N6" s="15" t="inlineStr"/>
      <c r="O6" s="15" t="inlineStr"/>
      <c r="P6" s="14" t="inlineStr"/>
    </row>
    <row r="7" ht="60" customHeight="1">
      <c r="A7" s="11" t="inlineStr">
        <is>
          <t>CL-006</t>
        </is>
      </c>
      <c r="B7" s="12" t="inlineStr">
        <is>
          <t>Permission &amp; Access</t>
        </is>
      </c>
      <c r="C7" s="12" t="inlineStr">
        <is>
          <t>Failed token refresh on 401 logs the user out to /login</t>
        </is>
      </c>
      <c r="D7" s="19" t="inlineStr">
        <is>
          <t>Medium</t>
        </is>
      </c>
      <c r="E7" s="12" t="inlineStr">
        <is>
          <t>API</t>
        </is>
      </c>
      <c r="F7" s="12" t="inlineStr">
        <is>
          <t>Logged in as admin; both access_token and refresh_token invalid/expired.</t>
        </is>
      </c>
      <c r="G7" s="12" t="inlineStr">
        <is>
          <t>1. Invalidate both access_token and refresh_token in localStorage.
2. Open /call-logs.
3. Observe redirect behaviour.</t>
        </is>
      </c>
      <c r="H7" s="12" t="inlineStr">
        <is>
          <t>N/A</t>
        </is>
      </c>
      <c r="I7" s="12" t="inlineStr">
        <is>
          <t>Guarded call returns 401, refresh attempt fails, client clears access_token/refresh_token/user from localStorage and redirects to /login.</t>
        </is>
      </c>
      <c r="J7" s="12" t="inlineStr">
        <is>
          <t>GET /api/exotel/agents</t>
        </is>
      </c>
      <c r="K7" s="14" t="inlineStr"/>
      <c r="L7" s="15" t="inlineStr">
        <is>
          <t>Not Executed</t>
        </is>
      </c>
      <c r="M7" s="15" t="inlineStr"/>
      <c r="N7" s="15" t="inlineStr"/>
      <c r="O7" s="15" t="inlineStr"/>
      <c r="P7" s="14" t="inlineStr"/>
    </row>
    <row r="8" ht="90" customHeight="1">
      <c r="A8" s="16" t="inlineStr">
        <is>
          <t>CL-007</t>
        </is>
      </c>
      <c r="B8" s="17" t="inlineStr">
        <is>
          <t>Dial - Outreach Queue</t>
        </is>
      </c>
      <c r="C8" s="17" t="inlineStr">
        <is>
          <t>Dial tab loads the priority outreach queue with patients and pagination footer</t>
        </is>
      </c>
      <c r="D8" s="21" t="inlineStr">
        <is>
          <t>High</t>
        </is>
      </c>
      <c r="E8" s="17" t="inlineStr">
        <is>
          <t>Functional</t>
        </is>
      </c>
      <c r="F8" s="17" t="inlineStr">
        <is>
          <t>Admin on /call-logs, &gt;10 patients seeded.</t>
        </is>
      </c>
      <c r="G8" s="17" t="inlineStr">
        <is>
          <t>1. Open the Dial tab.
2. Observe the 'Patients' card titled 'Priority Outreach Queue'.
3. Read the footer 'Showing X to Y of Z' text.</t>
        </is>
      </c>
      <c r="H8" s="17" t="inlineStr">
        <is>
          <t>12 seeded patients</t>
        </is>
      </c>
      <c r="I8" s="17" t="inlineStr">
        <is>
          <t>GET /api/patients (page=1, per_page=10, search='') is called; up to 10 patient rows render with name, patient phone, last sync date and a status badge; footer reads 'Showing 1 to 10 of 12'; Next enabled, Previous disabled on page 1.</t>
        </is>
      </c>
      <c r="J8" s="17" t="inlineStr">
        <is>
          <t>GET /api/patients?page=1&amp;per_page=10</t>
        </is>
      </c>
      <c r="K8" s="14" t="inlineStr"/>
      <c r="L8" s="15" t="inlineStr">
        <is>
          <t>Not Executed</t>
        </is>
      </c>
      <c r="M8" s="15" t="inlineStr"/>
      <c r="N8" s="15" t="inlineStr"/>
      <c r="O8" s="15" t="inlineStr"/>
      <c r="P8" s="14" t="inlineStr"/>
    </row>
    <row r="9" ht="75" customHeight="1">
      <c r="A9" s="16" t="inlineStr">
        <is>
          <t>CL-008</t>
        </is>
      </c>
      <c r="B9" s="17" t="inlineStr">
        <is>
          <t>Dial - Outreach Queue</t>
        </is>
      </c>
      <c r="C9" s="17" t="inlineStr">
        <is>
          <t>Queue sorts by outreach priority (overdue &gt; never &gt; scheduled &gt; recent)</t>
        </is>
      </c>
      <c r="D9" s="18" t="inlineStr">
        <is>
          <t>Medium</t>
        </is>
      </c>
      <c r="E9" s="17" t="inlineStr">
        <is>
          <t>Functional</t>
        </is>
      </c>
      <c r="F9" s="17" t="inlineStr">
        <is>
          <t>Patients seeded with varied last_call_date values as per test data setup.</t>
        </is>
      </c>
      <c r="G9" s="17" t="inlineStr">
        <is>
          <t>1. Open the Dial tab.
2. Inspect the order of the patient rows and their badges.</t>
        </is>
      </c>
      <c r="H9" s="17" t="inlineStr">
        <is>
          <t>Patients with last_call_date = none / today / 3 days ago / 8 days ago</t>
        </is>
      </c>
      <c r="I9" s="17" t="inlineStr">
        <is>
          <t>Rows are ordered so OVERDUE - 7D+ appears first, then NEVER CONTACTED, then SCHEDULED, then CONTACTED TODAY (client-side sort by getCallStatus priority {overdue:3, never:2, scheduled:1, recent:0}).</t>
        </is>
      </c>
      <c r="J9" s="17" t="inlineStr">
        <is>
          <t>N/A</t>
        </is>
      </c>
      <c r="K9" s="14" t="inlineStr"/>
      <c r="L9" s="15" t="inlineStr">
        <is>
          <t>Not Executed</t>
        </is>
      </c>
      <c r="M9" s="15" t="inlineStr"/>
      <c r="N9" s="15" t="inlineStr"/>
      <c r="O9" s="15" t="inlineStr"/>
      <c r="P9" s="14" t="inlineStr"/>
    </row>
    <row r="10" ht="75" customHeight="1">
      <c r="A10" s="16" t="inlineStr">
        <is>
          <t>CL-009</t>
        </is>
      </c>
      <c r="B10" s="17" t="inlineStr">
        <is>
          <t>Dial - Outreach Queue</t>
        </is>
      </c>
      <c r="C10" s="17" t="inlineStr">
        <is>
          <t>Patient status badges render correctly for each call-recency bucket</t>
        </is>
      </c>
      <c r="D10" s="18" t="inlineStr">
        <is>
          <t>Medium</t>
        </is>
      </c>
      <c r="E10" s="17" t="inlineStr">
        <is>
          <t>UI/UX</t>
        </is>
      </c>
      <c r="F10" s="17" t="inlineStr">
        <is>
          <t>Patients seeded per CL-008.</t>
        </is>
      </c>
      <c r="G10" s="17" t="inlineStr">
        <is>
          <t>1. Open the Dial tab.
2. Match each patient row's badge against its last_call_date.</t>
        </is>
      </c>
      <c r="H10" s="17" t="inlineStr">
        <is>
          <t>Same as CL-008</t>
        </is>
      </c>
      <c r="I10" s="17" t="inlineStr">
        <is>
          <t>No last_call_date -&gt; 'NEVER CONTACTED' (amber). &lt;1 day -&gt; 'CONTACTED TODAY' (emerald). 1-7 days -&gt; 'SCHEDULED' (blue). &gt;7 days -&gt; 'OVERDUE - 7D+' (red, pulsing). Last Sync shows the formatted date or 'None'.</t>
        </is>
      </c>
      <c r="J10" s="17" t="inlineStr">
        <is>
          <t>N/A</t>
        </is>
      </c>
      <c r="K10" s="14" t="inlineStr"/>
      <c r="L10" s="15" t="inlineStr">
        <is>
          <t>Not Executed</t>
        </is>
      </c>
      <c r="M10" s="15" t="inlineStr"/>
      <c r="N10" s="15" t="inlineStr"/>
      <c r="O10" s="15" t="inlineStr"/>
      <c r="P10" s="14" t="inlineStr"/>
    </row>
    <row r="11" ht="75" customHeight="1">
      <c r="A11" s="16" t="inlineStr">
        <is>
          <t>CL-010</t>
        </is>
      </c>
      <c r="B11" s="17" t="inlineStr">
        <is>
          <t>Dial - Outreach Queue</t>
        </is>
      </c>
      <c r="C11" s="17" t="inlineStr">
        <is>
          <t>Patient search filters the queue (debounced) by name</t>
        </is>
      </c>
      <c r="D11" s="21" t="inlineStr">
        <is>
          <t>High</t>
        </is>
      </c>
      <c r="E11" s="17" t="inlineStr">
        <is>
          <t>Functional</t>
        </is>
      </c>
      <c r="F11" s="17" t="inlineStr">
        <is>
          <t>Admin on Dial tab; patient 'Ramesh Kumar' exists.</t>
        </is>
      </c>
      <c r="G11" s="17" t="inlineStr">
        <is>
          <t>1. Type 'Ramesh' into the 'Search patient or phone...' box.
2. Wait ~300ms and observe the Network tab and the list.</t>
        </is>
      </c>
      <c r="H11" s="17" t="inlineStr">
        <is>
          <t>Search term: Ramesh</t>
        </is>
      </c>
      <c r="I11" s="17" t="inlineStr">
        <is>
          <t>After the 300ms debounce a single GET /api/patients call fires with search=Ramesh; the list updates to matching patients. (Note: results are additionally filtered client-side by name/phone via sortedPatients.)</t>
        </is>
      </c>
      <c r="J11" s="17" t="inlineStr">
        <is>
          <t>GET /api/patients?search=Ramesh</t>
        </is>
      </c>
      <c r="K11" s="14" t="inlineStr"/>
      <c r="L11" s="15" t="inlineStr">
        <is>
          <t>Not Executed</t>
        </is>
      </c>
      <c r="M11" s="15" t="inlineStr"/>
      <c r="N11" s="15" t="inlineStr"/>
      <c r="O11" s="15" t="inlineStr"/>
      <c r="P11" s="14" t="inlineStr"/>
    </row>
    <row r="12" ht="60" customHeight="1">
      <c r="A12" s="16" t="inlineStr">
        <is>
          <t>CL-011</t>
        </is>
      </c>
      <c r="B12" s="17" t="inlineStr">
        <is>
          <t>Dial - Outreach Queue</t>
        </is>
      </c>
      <c r="C12" s="17" t="inlineStr">
        <is>
          <t>Patient search by phone substring filters the visible rows</t>
        </is>
      </c>
      <c r="D12" s="18" t="inlineStr">
        <is>
          <t>Medium</t>
        </is>
      </c>
      <c r="E12" s="17" t="inlineStr">
        <is>
          <t>Functional</t>
        </is>
      </c>
      <c r="F12" s="17" t="inlineStr">
        <is>
          <t>Admin on Dial tab; a patient with phone +91 99000 11223 exists.</t>
        </is>
      </c>
      <c r="G12" s="17" t="inlineStr">
        <is>
          <t>1. Type '99000' into the search box.
2. Observe the filtered rows.</t>
        </is>
      </c>
      <c r="H12" s="17" t="inlineStr">
        <is>
          <t>Search term: 99000</t>
        </is>
      </c>
      <c r="I12" s="17" t="inlineStr">
        <is>
          <t>Rows are filtered to patients whose phone contains '99000' (client-side sortedPatients filter on p.phone). Non-matching rows are hidden.</t>
        </is>
      </c>
      <c r="J12" s="17" t="inlineStr">
        <is>
          <t>GET /api/patients?search=99000</t>
        </is>
      </c>
      <c r="K12" s="14" t="inlineStr"/>
      <c r="L12" s="15" t="inlineStr">
        <is>
          <t>Not Executed</t>
        </is>
      </c>
      <c r="M12" s="15" t="inlineStr"/>
      <c r="N12" s="15" t="inlineStr"/>
      <c r="O12" s="15" t="inlineStr"/>
      <c r="P12" s="14" t="inlineStr"/>
    </row>
    <row r="13" ht="60" customHeight="1">
      <c r="A13" s="16" t="inlineStr">
        <is>
          <t>CL-012</t>
        </is>
      </c>
      <c r="B13" s="17" t="inlineStr">
        <is>
          <t>Dial - Outreach Queue</t>
        </is>
      </c>
      <c r="C13" s="17" t="inlineStr">
        <is>
          <t>Outreach queue pagination Next/Previous navigates pages</t>
        </is>
      </c>
      <c r="D13" s="18" t="inlineStr">
        <is>
          <t>Medium</t>
        </is>
      </c>
      <c r="E13" s="17" t="inlineStr">
        <is>
          <t>Functional</t>
        </is>
      </c>
      <c r="F13" s="17" t="inlineStr">
        <is>
          <t>Admin on Dial tab; 12 patients (2 pages).</t>
        </is>
      </c>
      <c r="G13" s="17" t="inlineStr">
        <is>
          <t>1. On page 1, click 'Next' in the queue footer.
2. Observe the list and footer.
3. Click 'Previous'.</t>
        </is>
      </c>
      <c r="H13" s="17" t="inlineStr">
        <is>
          <t>12 patients, PER_PAGE 10</t>
        </is>
      </c>
      <c r="I13" s="17" t="inlineStr">
        <is>
          <t>Next sets patientPage=2 -&gt; GET /api/patients?page=2; footer reads 'Showing 11 to 12 of 12'; Next is disabled on the last page; Previous returns to page 1.</t>
        </is>
      </c>
      <c r="J13" s="17" t="inlineStr">
        <is>
          <t>GET /api/patients?page=2&amp;per_page=10</t>
        </is>
      </c>
      <c r="K13" s="14" t="inlineStr"/>
      <c r="L13" s="15" t="inlineStr">
        <is>
          <t>Not Executed</t>
        </is>
      </c>
      <c r="M13" s="15" t="inlineStr"/>
      <c r="N13" s="15" t="inlineStr"/>
      <c r="O13" s="15" t="inlineStr"/>
      <c r="P13" s="14" t="inlineStr"/>
    </row>
    <row r="14" ht="45" customHeight="1">
      <c r="A14" s="16" t="inlineStr">
        <is>
          <t>CL-013</t>
        </is>
      </c>
      <c r="B14" s="17" t="inlineStr">
        <is>
          <t>Dial - Outreach Queue</t>
        </is>
      </c>
      <c r="C14" s="17" t="inlineStr">
        <is>
          <t>Empty outreach queue shows 'No patients found.'</t>
        </is>
      </c>
      <c r="D14" s="18" t="inlineStr">
        <is>
          <t>Medium</t>
        </is>
      </c>
      <c r="E14" s="17" t="inlineStr">
        <is>
          <t>Edge Case</t>
        </is>
      </c>
      <c r="F14" s="17" t="inlineStr">
        <is>
          <t>Admin on Dial tab; search yields zero patients.</t>
        </is>
      </c>
      <c r="G14" s="17" t="inlineStr">
        <is>
          <t>1. Type a string matching no patient, e.g. 'zzzzqqq'.
2. Wait for the list to settle.</t>
        </is>
      </c>
      <c r="H14" s="17" t="inlineStr">
        <is>
          <t>Search term: zzzzqqq</t>
        </is>
      </c>
      <c r="I14" s="17" t="inlineStr">
        <is>
          <t>The queue body shows the italic empty message 'No patients found.' and no patient rows; footer count reflects 0.</t>
        </is>
      </c>
      <c r="J14" s="17" t="inlineStr">
        <is>
          <t>GET /api/patients?search=zzzzqqq</t>
        </is>
      </c>
      <c r="K14" s="14" t="inlineStr"/>
      <c r="L14" s="15" t="inlineStr">
        <is>
          <t>Not Executed</t>
        </is>
      </c>
      <c r="M14" s="15" t="inlineStr"/>
      <c r="N14" s="15" t="inlineStr"/>
      <c r="O14" s="15" t="inlineStr"/>
      <c r="P14" s="14" t="inlineStr"/>
    </row>
    <row r="15" ht="60" customHeight="1">
      <c r="A15" s="16" t="inlineStr">
        <is>
          <t>CL-014</t>
        </is>
      </c>
      <c r="B15" s="17" t="inlineStr">
        <is>
          <t>Dial - Outreach Queue</t>
        </is>
      </c>
      <c r="C15" s="17" t="inlineStr">
        <is>
          <t>Loading skeleton displays while patients are being fetched</t>
        </is>
      </c>
      <c r="D15" s="22" t="inlineStr">
        <is>
          <t>Low</t>
        </is>
      </c>
      <c r="E15" s="17" t="inlineStr">
        <is>
          <t>UI/UX</t>
        </is>
      </c>
      <c r="F15" s="17" t="inlineStr">
        <is>
          <t>Admin; throttle network to Slow 3G in DevTools.</t>
        </is>
      </c>
      <c r="G15" s="17" t="inlineStr">
        <is>
          <t>1. Throttle the network.
2. Switch to / refresh the Dial tab.
3. Observe the Patients card during loading.</t>
        </is>
      </c>
      <c r="H15" s="17" t="inlineStr">
        <is>
          <t>N/A</t>
        </is>
      </c>
      <c r="I15" s="17" t="inlineStr">
        <is>
          <t>While patientsLoading is true the CallLogCard renders skeleton placeholders (title/description/300px body skeleton) instead of rows; rows appear once data resolves.</t>
        </is>
      </c>
      <c r="J15" s="17" t="inlineStr">
        <is>
          <t>GET /api/patients</t>
        </is>
      </c>
      <c r="K15" s="14" t="inlineStr"/>
      <c r="L15" s="15" t="inlineStr">
        <is>
          <t>Not Executed</t>
        </is>
      </c>
      <c r="M15" s="15" t="inlineStr"/>
      <c r="N15" s="15" t="inlineStr"/>
      <c r="O15" s="15" t="inlineStr"/>
      <c r="P15" s="14" t="inlineStr"/>
    </row>
    <row r="16" ht="60" customHeight="1">
      <c r="A16" s="16" t="inlineStr">
        <is>
          <t>CL-015</t>
        </is>
      </c>
      <c r="B16" s="17" t="inlineStr">
        <is>
          <t>Dial - Outreach Queue</t>
        </is>
      </c>
      <c r="C16" s="17" t="inlineStr">
        <is>
          <t>Patients fetch failure shows 'Sync Failed' destructive toast</t>
        </is>
      </c>
      <c r="D16" s="18" t="inlineStr">
        <is>
          <t>Medium</t>
        </is>
      </c>
      <c r="E16" s="17" t="inlineStr">
        <is>
          <t>Negative</t>
        </is>
      </c>
      <c r="F16" s="17" t="inlineStr">
        <is>
          <t>Admin on Dial tab; force GET /api/patients to return 500 (e.g. block the endpoint).</t>
        </is>
      </c>
      <c r="G16" s="17" t="inlineStr">
        <is>
          <t>1. Force the patients endpoint to error (DevTools request block or backend down).
2. Open / refresh the Dial tab.</t>
        </is>
      </c>
      <c r="H16" s="17" t="inlineStr">
        <is>
          <t>N/A</t>
        </is>
      </c>
      <c r="I16" s="17" t="inlineStr">
        <is>
          <t>A destructive toast 'Sync Failed - Could not retrieve patients.' is shown; the queue does not crash and shows the empty state.</t>
        </is>
      </c>
      <c r="J16" s="17" t="inlineStr">
        <is>
          <t>GET /api/patients</t>
        </is>
      </c>
      <c r="K16" s="14" t="inlineStr"/>
      <c r="L16" s="15" t="inlineStr">
        <is>
          <t>Not Executed</t>
        </is>
      </c>
      <c r="M16" s="15" t="inlineStr"/>
      <c r="N16" s="15" t="inlineStr"/>
      <c r="O16" s="15" t="inlineStr"/>
      <c r="P16" s="14" t="inlineStr"/>
    </row>
    <row r="17" ht="75" customHeight="1">
      <c r="A17" s="16" t="inlineStr">
        <is>
          <t>CL-016</t>
        </is>
      </c>
      <c r="B17" s="17" t="inlineStr">
        <is>
          <t>Dial - Outreach Queue</t>
        </is>
      </c>
      <c r="C17" s="17" t="inlineStr">
        <is>
          <t>Caregiver patient shows 'Call Options' dropdown with Patient and Caregiver</t>
        </is>
      </c>
      <c r="D17" s="21" t="inlineStr">
        <is>
          <t>High</t>
        </is>
      </c>
      <c r="E17" s="17" t="inlineStr">
        <is>
          <t>Functional</t>
        </is>
      </c>
      <c r="F17" s="17" t="inlineStr">
        <is>
          <t>Admin on Dial tab; patient with primary_caregiver_phone exists; at least one On Duty staff.</t>
        </is>
      </c>
      <c r="G17" s="17" t="inlineStr">
        <is>
          <t>1. Locate the caregiver-enabled patient row (caregiver phone shown in blue).
2. Click the 'Call Options' button.
3. Inspect the dropdown menu.</t>
        </is>
      </c>
      <c r="H17" s="17" t="inlineStr">
        <is>
          <t>Lakshmi Iyer, caregiver +91 98860 12345</t>
        </is>
      </c>
      <c r="I17" s="17" t="inlineStr">
        <is>
          <t>A dropdown opens with label 'Select Contact', a 'Call Patient' item (patient phone) and a 'Call Caregiver' item (caregiver phone + name). Patients with no caregiver render a single 'Call' button instead.</t>
        </is>
      </c>
      <c r="J17" s="17" t="inlineStr">
        <is>
          <t>N/A</t>
        </is>
      </c>
      <c r="K17" s="14" t="inlineStr"/>
      <c r="L17" s="15" t="inlineStr">
        <is>
          <t>Not Executed</t>
        </is>
      </c>
      <c r="M17" s="15" t="inlineStr"/>
      <c r="N17" s="15" t="inlineStr"/>
      <c r="O17" s="15" t="inlineStr"/>
      <c r="P17" s="14" t="inlineStr"/>
    </row>
    <row r="18" ht="75" customHeight="1">
      <c r="A18" s="16" t="inlineStr">
        <is>
          <t>CL-017</t>
        </is>
      </c>
      <c r="B18" s="17" t="inlineStr">
        <is>
          <t>Dial - Outreach Queue</t>
        </is>
      </c>
      <c r="C18" s="17" t="inlineStr">
        <is>
          <t>Schedule-for-later popover requires a date before Confirm is enabled</t>
        </is>
      </c>
      <c r="D18" s="18" t="inlineStr">
        <is>
          <t>Medium</t>
        </is>
      </c>
      <c r="E18" s="17" t="inlineStr">
        <is>
          <t>Validation</t>
        </is>
      </c>
      <c r="F18" s="17" t="inlineStr">
        <is>
          <t>Admin on Dial tab.</t>
        </is>
      </c>
      <c r="G18" s="17" t="inlineStr">
        <is>
          <t>1. Click the amber calendar button on a patient row.
2. Observe the 'Confirm Schedule' button before picking a date.
3. Pick a future date, then observe the button.</t>
        </is>
      </c>
      <c r="H18" s="17" t="inlineStr">
        <is>
          <t>Date: 2026-06-10</t>
        </is>
      </c>
      <c r="I18" s="17" t="inlineStr">
        <is>
          <t>'Confirm Schedule' is disabled until a date is selected; once a date is chosen it becomes enabled. Confirming triggers the add-to-schedule flow (CL-046) and resets the temp date.</t>
        </is>
      </c>
      <c r="J18" s="17" t="inlineStr">
        <is>
          <t>POST /api/exotel/scheduler</t>
        </is>
      </c>
      <c r="K18" s="14" t="inlineStr"/>
      <c r="L18" s="15" t="inlineStr">
        <is>
          <t>Not Executed</t>
        </is>
      </c>
      <c r="M18" s="15" t="inlineStr"/>
      <c r="N18" s="15" t="inlineStr"/>
      <c r="O18" s="15" t="inlineStr"/>
      <c r="P18" s="14" t="inlineStr"/>
    </row>
    <row r="19" ht="75" customHeight="1">
      <c r="A19" s="11" t="inlineStr">
        <is>
          <t>CL-018</t>
        </is>
      </c>
      <c r="B19" s="12" t="inlineStr">
        <is>
          <t>Staff Registry Sidebar</t>
        </is>
      </c>
      <c r="C19" s="12" t="inlineStr">
        <is>
          <t>Staff Registry loads agents with On Duty/Off and 'Ready' count</t>
        </is>
      </c>
      <c r="D19" s="13" t="inlineStr">
        <is>
          <t>High</t>
        </is>
      </c>
      <c r="E19" s="12" t="inlineStr">
        <is>
          <t>Functional</t>
        </is>
      </c>
      <c r="F19" s="12" t="inlineStr">
        <is>
          <t>Admin on Dial tab; &gt;=2 active providers.</t>
        </is>
      </c>
      <c r="G19" s="12" t="inlineStr">
        <is>
          <t>1. Observe the right-hand 'Staff Registry - Active care providers' card.
2. Read each agent's status chip and the header 'X Ready' badge.</t>
        </is>
      </c>
      <c r="H19" s="12" t="inlineStr">
        <is>
          <t>2 providers</t>
        </is>
      </c>
      <c r="I19" s="12" t="inlineStr">
        <is>
          <t>GET /api/exotel/agents returns providers; each renders initial avatar, name, 'On Duty'/'Off' chip and (if applicable) 'Busy'; header badge shows count of agents that are active AND not busy.</t>
        </is>
      </c>
      <c r="J19" s="12" t="inlineStr">
        <is>
          <t>GET /api/exotel/agents</t>
        </is>
      </c>
      <c r="K19" s="14" t="inlineStr"/>
      <c r="L19" s="15" t="inlineStr">
        <is>
          <t>Not Executed</t>
        </is>
      </c>
      <c r="M19" s="15" t="inlineStr"/>
      <c r="N19" s="15" t="inlineStr"/>
      <c r="O19" s="15" t="inlineStr"/>
      <c r="P19" s="14" t="inlineStr"/>
    </row>
    <row r="20" ht="75" customHeight="1">
      <c r="A20" s="11" t="inlineStr">
        <is>
          <t>CL-019</t>
        </is>
      </c>
      <c r="B20" s="12" t="inlineStr">
        <is>
          <t>Staff Registry Sidebar</t>
        </is>
      </c>
      <c r="C20" s="12" t="inlineStr">
        <is>
          <t>Toggle an agent On Duty persists via PUT and updates optimistically</t>
        </is>
      </c>
      <c r="D20" s="13" t="inlineStr">
        <is>
          <t>High</t>
        </is>
      </c>
      <c r="E20" s="12" t="inlineStr">
        <is>
          <t>Functional</t>
        </is>
      </c>
      <c r="F20" s="12" t="inlineStr">
        <is>
          <t>Admin on Dial tab; agent currently Off.</t>
        </is>
      </c>
      <c r="G20" s="12" t="inlineStr">
        <is>
          <t>1. Click the toggle (PhoneForwarded) button on an Off agent.
2. Observe the chip and the 'Ready' count.
3. Check the Network tab for the PUT call and payload.</t>
        </is>
      </c>
      <c r="H20" s="12" t="inlineStr">
        <is>
          <t>provider_id of the chosen agent</t>
        </is>
      </c>
      <c r="I20" s="12" t="inlineStr">
        <is>
          <t>Chip flips to 'On Duty' immediately (optimistic); PUT /api/exotel/agent-status fires with body {provider_id, is_on_duty:true} and returns 200; 'Ready' count increments.</t>
        </is>
      </c>
      <c r="J20" s="12" t="inlineStr">
        <is>
          <t>PUT /api/exotel/agent-status</t>
        </is>
      </c>
      <c r="K20" s="14" t="inlineStr"/>
      <c r="L20" s="15" t="inlineStr">
        <is>
          <t>Not Executed</t>
        </is>
      </c>
      <c r="M20" s="15" t="inlineStr"/>
      <c r="N20" s="15" t="inlineStr"/>
      <c r="O20" s="15" t="inlineStr"/>
      <c r="P20" s="14" t="inlineStr"/>
    </row>
    <row r="21" ht="75" customHeight="1">
      <c r="A21" s="11" t="inlineStr">
        <is>
          <t>CL-020</t>
        </is>
      </c>
      <c r="B21" s="12" t="inlineStr">
        <is>
          <t>Staff Registry Sidebar</t>
        </is>
      </c>
      <c r="C21" s="12" t="inlineStr">
        <is>
          <t>Agent-status PUT failure reverts the optimistic toggle</t>
        </is>
      </c>
      <c r="D21" s="19" t="inlineStr">
        <is>
          <t>Medium</t>
        </is>
      </c>
      <c r="E21" s="12" t="inlineStr">
        <is>
          <t>Negative</t>
        </is>
      </c>
      <c r="F21" s="12" t="inlineStr">
        <is>
          <t>Admin on Dial tab; force PUT /api/exotel/agent-status to 500.</t>
        </is>
      </c>
      <c r="G21" s="12" t="inlineStr">
        <is>
          <t>1. Block / fail the agent-status endpoint in DevTools.
2. Toggle an agent's duty status.
3. Observe the chip after the request fails.</t>
        </is>
      </c>
      <c r="H21" s="12" t="inlineStr">
        <is>
          <t>N/A</t>
        </is>
      </c>
      <c r="I21" s="12" t="inlineStr">
        <is>
          <t>Chip first flips optimistically then reverts to its previous state when the PUT rejects; no crash. (Note: no error toast is shown on this path — confirm chip reversion only.)</t>
        </is>
      </c>
      <c r="J21" s="12" t="inlineStr">
        <is>
          <t>PUT /api/exotel/agent-status</t>
        </is>
      </c>
      <c r="K21" s="14" t="inlineStr"/>
      <c r="L21" s="15" t="inlineStr">
        <is>
          <t>Not Executed</t>
        </is>
      </c>
      <c r="M21" s="15" t="inlineStr"/>
      <c r="N21" s="15" t="inlineStr"/>
      <c r="O21" s="15" t="inlineStr"/>
      <c r="P21" s="14" t="inlineStr"/>
    </row>
    <row r="22" ht="60" customHeight="1">
      <c r="A22" s="11" t="inlineStr">
        <is>
          <t>CL-021</t>
        </is>
      </c>
      <c r="B22" s="12" t="inlineStr">
        <is>
          <t>Staff Registry Sidebar</t>
        </is>
      </c>
      <c r="C22" s="12" t="inlineStr">
        <is>
          <t>All staff off/busy shows 'Full busy / offline' warning</t>
        </is>
      </c>
      <c r="D22" s="20" t="inlineStr">
        <is>
          <t>Low</t>
        </is>
      </c>
      <c r="E22" s="12" t="inlineStr">
        <is>
          <t>UI/UX</t>
        </is>
      </c>
      <c r="F22" s="12" t="inlineStr">
        <is>
          <t>Admin on Dial tab; at least one agent exists but none are available.</t>
        </is>
      </c>
      <c r="G22" s="12" t="inlineStr">
        <is>
          <t>1. Toggle all agents to Off (or ensure all are busy).
2. Observe the bottom of the Staff Registry.</t>
        </is>
      </c>
      <c r="H22" s="12" t="inlineStr">
        <is>
          <t>N/A</t>
        </is>
      </c>
      <c r="I22" s="12" t="inlineStr">
        <is>
          <t>When availableCount is 0 but agents exist, the amber 'Full busy / offline' banner is shown and the header badge reads '0 Ready'.</t>
        </is>
      </c>
      <c r="J22" s="12" t="inlineStr">
        <is>
          <t>N/A</t>
        </is>
      </c>
      <c r="K22" s="14" t="inlineStr"/>
      <c r="L22" s="15" t="inlineStr">
        <is>
          <t>Not Executed</t>
        </is>
      </c>
      <c r="M22" s="15" t="inlineStr"/>
      <c r="N22" s="15" t="inlineStr"/>
      <c r="O22" s="15" t="inlineStr"/>
      <c r="P22" s="14" t="inlineStr"/>
    </row>
    <row r="23" ht="45" customHeight="1">
      <c r="A23" s="11" t="inlineStr">
        <is>
          <t>CL-022</t>
        </is>
      </c>
      <c r="B23" s="12" t="inlineStr">
        <is>
          <t>Staff Registry Sidebar</t>
        </is>
      </c>
      <c r="C23" s="12" t="inlineStr">
        <is>
          <t>No staff returns empty registry message</t>
        </is>
      </c>
      <c r="D23" s="20" t="inlineStr">
        <is>
          <t>Low</t>
        </is>
      </c>
      <c r="E23" s="12" t="inlineStr">
        <is>
          <t>Edge Case</t>
        </is>
      </c>
      <c r="F23" s="12" t="inlineStr">
        <is>
          <t>Admin on Dial tab; no active providers in DB.</t>
        </is>
      </c>
      <c r="G23" s="12" t="inlineStr">
        <is>
          <t>1. Open the Dial tab with zero active providers.
2. Observe the Staff Registry body.</t>
        </is>
      </c>
      <c r="H23" s="12" t="inlineStr">
        <is>
          <t>N/A</t>
        </is>
      </c>
      <c r="I23" s="12" t="inlineStr">
        <is>
          <t>The registry shows the empty state 'No staff members found.' with a user icon; header badge reads '0 Ready'.</t>
        </is>
      </c>
      <c r="J23" s="12" t="inlineStr">
        <is>
          <t>GET /api/exotel/agents</t>
        </is>
      </c>
      <c r="K23" s="14" t="inlineStr"/>
      <c r="L23" s="15" t="inlineStr">
        <is>
          <t>Not Executed</t>
        </is>
      </c>
      <c r="M23" s="15" t="inlineStr"/>
      <c r="N23" s="15" t="inlineStr"/>
      <c r="O23" s="15" t="inlineStr"/>
      <c r="P23" s="14" t="inlineStr"/>
    </row>
    <row r="24" ht="75" customHeight="1">
      <c r="A24" s="11" t="inlineStr">
        <is>
          <t>CL-023</t>
        </is>
      </c>
      <c r="B24" s="12" t="inlineStr">
        <is>
          <t>Staff Registry Sidebar</t>
        </is>
      </c>
      <c r="C24" s="12" t="inlineStr">
        <is>
          <t>Staff Registry client-side pagination</t>
        </is>
      </c>
      <c r="D24" s="20" t="inlineStr">
        <is>
          <t>Low</t>
        </is>
      </c>
      <c r="E24" s="12" t="inlineStr">
        <is>
          <t>Functional</t>
        </is>
      </c>
      <c r="F24" s="12" t="inlineStr">
        <is>
          <t>Admin on Dial tab; &gt;10 active providers.</t>
        </is>
      </c>
      <c r="G24" s="12" t="inlineStr">
        <is>
          <t>1. Observe 'Page 1 / N' footer.
2. Click 'Next', then 'Previous'.</t>
        </is>
      </c>
      <c r="H24" s="12" t="inlineStr">
        <is>
          <t>11 providers</t>
        </is>
      </c>
      <c r="I24" s="12" t="inlineStr">
        <is>
          <t>Agents are paginated client-side (slice of 10); footer shows correct page; Previous disabled on page 1, Next disabled on the last page. No new network call (agents already in memory).</t>
        </is>
      </c>
      <c r="J24" s="12" t="inlineStr">
        <is>
          <t>N/A</t>
        </is>
      </c>
      <c r="K24" s="14" t="inlineStr"/>
      <c r="L24" s="15" t="inlineStr">
        <is>
          <t>Not Executed</t>
        </is>
      </c>
      <c r="M24" s="15" t="inlineStr"/>
      <c r="N24" s="15" t="inlineStr"/>
      <c r="O24" s="15" t="inlineStr"/>
      <c r="P24" s="14" t="inlineStr"/>
    </row>
    <row r="25" ht="105" customHeight="1">
      <c r="A25" s="16" t="inlineStr">
        <is>
          <t>CL-024</t>
        </is>
      </c>
      <c r="B25" s="17" t="inlineStr">
        <is>
          <t>Initiate Call (Exotel)</t>
        </is>
      </c>
      <c r="C25" s="17" t="inlineStr">
        <is>
          <t>Initiate a call to a patient with an available agent succeeds</t>
        </is>
      </c>
      <c r="D25" s="21" t="inlineStr">
        <is>
          <t>High</t>
        </is>
      </c>
      <c r="E25" s="17" t="inlineStr">
        <is>
          <t>Functional</t>
        </is>
      </c>
      <c r="F25" s="17" t="inlineStr">
        <is>
          <t>Admin on Dial tab; at least one On Duty + not-busy agent; patient with a valid +91 number; valid Exotel creds.</t>
        </is>
      </c>
      <c r="G25" s="17" t="inlineStr">
        <is>
          <t>1. Ensure one agent is On Duty.
2. Click 'Call' (or 'Call Patient' from the dropdown) on a patient with a phone number.
3. Observe the toast, the button label, the Live HUD and the Network tab.</t>
        </is>
      </c>
      <c r="H25" s="17" t="inlineStr">
        <is>
          <t>Patient Ramesh Kumar +91 99000 11223</t>
        </is>
      </c>
      <c r="I25" s="17" t="inlineStr">
        <is>
          <t>POST /api/exotel/make-call fires with {from: agent clean phone, to: patient clean phone, patient_name, provider_name}; a 'Call Initiated' toast appears; the agent becomes Busy; a Live Session appears in the Call HUD; on a returned Sid the button reads 'Connected'.</t>
        </is>
      </c>
      <c r="J25" s="17" t="inlineStr">
        <is>
          <t>POST /api/exotel/make-call</t>
        </is>
      </c>
      <c r="K25" s="14" t="inlineStr"/>
      <c r="L25" s="15" t="inlineStr">
        <is>
          <t>Not Executed</t>
        </is>
      </c>
      <c r="M25" s="15" t="inlineStr"/>
      <c r="N25" s="15" t="inlineStr"/>
      <c r="O25" s="15" t="inlineStr"/>
      <c r="P25" s="14" t="inlineStr"/>
    </row>
    <row r="26" ht="60" customHeight="1">
      <c r="A26" s="16" t="inlineStr">
        <is>
          <t>CL-025</t>
        </is>
      </c>
      <c r="B26" s="17" t="inlineStr">
        <is>
          <t>Initiate Call (Exotel)</t>
        </is>
      </c>
      <c r="C26" s="17" t="inlineStr">
        <is>
          <t>Call blocked when no staff are On Duty</t>
        </is>
      </c>
      <c r="D26" s="21" t="inlineStr">
        <is>
          <t>High</t>
        </is>
      </c>
      <c r="E26" s="17" t="inlineStr">
        <is>
          <t>Negative</t>
        </is>
      </c>
      <c r="F26" s="17" t="inlineStr">
        <is>
          <t>Admin on Dial tab; all agents Off (or busy).</t>
        </is>
      </c>
      <c r="G26" s="17" t="inlineStr">
        <is>
          <t>1. Ensure no agent is available.
2. Click 'Call' on any patient.</t>
        </is>
      </c>
      <c r="H26" s="17" t="inlineStr">
        <is>
          <t>N/A</t>
        </is>
      </c>
      <c r="I26" s="17" t="inlineStr">
        <is>
          <t>No make-call request is sent; a destructive toast 'Staff Offline - Please set at least one staff member to On Duty in the sidebar before calling.' is shown.</t>
        </is>
      </c>
      <c r="J26" s="17" t="inlineStr">
        <is>
          <t>N/A (guard before POST /api/exotel/make-call)</t>
        </is>
      </c>
      <c r="K26" s="14" t="inlineStr"/>
      <c r="L26" s="15" t="inlineStr">
        <is>
          <t>Not Executed</t>
        </is>
      </c>
      <c r="M26" s="15" t="inlineStr"/>
      <c r="N26" s="15" t="inlineStr"/>
      <c r="O26" s="15" t="inlineStr"/>
      <c r="P26" s="14" t="inlineStr"/>
    </row>
    <row r="27" ht="60" customHeight="1">
      <c r="A27" s="16" t="inlineStr">
        <is>
          <t>CL-026</t>
        </is>
      </c>
      <c r="B27" s="17" t="inlineStr">
        <is>
          <t>Initiate Call (Exotel)</t>
        </is>
      </c>
      <c r="C27" s="17" t="inlineStr">
        <is>
          <t>Call blocked when the target patient has no phone number</t>
        </is>
      </c>
      <c r="D27" s="21" t="inlineStr">
        <is>
          <t>High</t>
        </is>
      </c>
      <c r="E27" s="17" t="inlineStr">
        <is>
          <t>Negative</t>
        </is>
      </c>
      <c r="F27" s="17" t="inlineStr">
        <is>
          <t>Admin on Dial tab; one agent On Duty; a patient with no phone on file.</t>
        </is>
      </c>
      <c r="G27" s="17" t="inlineStr">
        <is>
          <t>1. Click 'Call' on the patient that has no phone.
2. Observe the toast.</t>
        </is>
      </c>
      <c r="H27" s="17" t="inlineStr">
        <is>
          <t>Patient with no phone/contact</t>
        </is>
      </c>
      <c r="I27" s="17" t="inlineStr">
        <is>
          <t>No make-call request; destructive toast 'Missing Number - Could not find phone number for Target.' is shown (and 'Staff' if the agent number is missing).</t>
        </is>
      </c>
      <c r="J27" s="17" t="inlineStr">
        <is>
          <t>N/A (guard before POST /api/exotel/make-call)</t>
        </is>
      </c>
      <c r="K27" s="14" t="inlineStr"/>
      <c r="L27" s="15" t="inlineStr">
        <is>
          <t>Not Executed</t>
        </is>
      </c>
      <c r="M27" s="15" t="inlineStr"/>
      <c r="N27" s="15" t="inlineStr"/>
      <c r="O27" s="15" t="inlineStr"/>
      <c r="P27" s="14" t="inlineStr"/>
    </row>
    <row r="28" ht="75" customHeight="1">
      <c r="A28" s="16" t="inlineStr">
        <is>
          <t>CL-027</t>
        </is>
      </c>
      <c r="B28" s="17" t="inlineStr">
        <is>
          <t>Initiate Call (Exotel)</t>
        </is>
      </c>
      <c r="C28" s="17" t="inlineStr">
        <is>
          <t>Initiate a call to the caregiver number from the dropdown</t>
        </is>
      </c>
      <c r="D28" s="18" t="inlineStr">
        <is>
          <t>Medium</t>
        </is>
      </c>
      <c r="E28" s="17" t="inlineStr">
        <is>
          <t>Functional</t>
        </is>
      </c>
      <c r="F28" s="17" t="inlineStr">
        <is>
          <t>Admin on Dial tab; agent On Duty; caregiver-enabled patient.</t>
        </is>
      </c>
      <c r="G28" s="17" t="inlineStr">
        <is>
          <t>1. Open 'Call Options' on the caregiver patient.
2. Click 'Call Caregiver'.
3. Inspect the make-call payload.</t>
        </is>
      </c>
      <c r="H28" s="17" t="inlineStr">
        <is>
          <t>Lakshmi Iyer, caregiver +91 98860 12345</t>
        </is>
      </c>
      <c r="I28" s="17" t="inlineStr">
        <is>
          <t>POST /api/exotel/make-call uses the caregiver's cleaned phone as 'to'; the HUD session name reflects the caregiver/target name; patient_name in the payload is still the patient's full_name.</t>
        </is>
      </c>
      <c r="J28" s="17" t="inlineStr">
        <is>
          <t>POST /api/exotel/make-call</t>
        </is>
      </c>
      <c r="K28" s="14" t="inlineStr"/>
      <c r="L28" s="15" t="inlineStr">
        <is>
          <t>Not Executed</t>
        </is>
      </c>
      <c r="M28" s="15" t="inlineStr"/>
      <c r="N28" s="15" t="inlineStr"/>
      <c r="O28" s="15" t="inlineStr"/>
      <c r="P28" s="14" t="inlineStr"/>
    </row>
    <row r="29" ht="90" customHeight="1">
      <c r="A29" s="16" t="inlineStr">
        <is>
          <t>CL-028</t>
        </is>
      </c>
      <c r="B29" s="17" t="inlineStr">
        <is>
          <t>Initiate Call (Exotel)</t>
        </is>
      </c>
      <c r="C29" s="17" t="inlineStr">
        <is>
          <t>Exotel 403 (invalid credentials) shows Authentication Failed toast</t>
        </is>
      </c>
      <c r="D29" s="21" t="inlineStr">
        <is>
          <t>High</t>
        </is>
      </c>
      <c r="E29" s="17" t="inlineStr">
        <is>
          <t>Negative</t>
        </is>
      </c>
      <c r="F29" s="17" t="inlineStr">
        <is>
          <t>Admin on Dial tab; agent On Duty; backend Exotel API_KEY/API_TOKEN invalid.</t>
        </is>
      </c>
      <c r="G29" s="17" t="inlineStr">
        <is>
          <t>1. Click 'Call' on a valid patient.
2. Observe the toast and Network response.</t>
        </is>
      </c>
      <c r="H29" s="17" t="inlineStr">
        <is>
          <t>Invalid Exotel creds</t>
        </is>
      </c>
      <c r="I29" s="17" t="inlineStr">
        <is>
          <t>make-call passes through a 403 from Exotel; UI shows destructive toast 'Authentication Failed - Exotel credentials (API Key/Token) are invalid. Please check your configuration.'; the agent's busy flag is cleared and the temp session is removed.</t>
        </is>
      </c>
      <c r="J29" s="17" t="inlineStr">
        <is>
          <t>POST /api/exotel/make-call</t>
        </is>
      </c>
      <c r="K29" s="14" t="inlineStr"/>
      <c r="L29" s="15" t="inlineStr">
        <is>
          <t>Not Executed</t>
        </is>
      </c>
      <c r="M29" s="15" t="inlineStr"/>
      <c r="N29" s="15" t="inlineStr"/>
      <c r="O29" s="15" t="inlineStr"/>
      <c r="P29" s="14" t="inlineStr"/>
    </row>
    <row r="30" ht="75" customHeight="1">
      <c r="A30" s="16" t="inlineStr">
        <is>
          <t>CL-029</t>
        </is>
      </c>
      <c r="B30" s="17" t="inlineStr">
        <is>
          <t>Initiate Call (Exotel)</t>
        </is>
      </c>
      <c r="C30" s="17" t="inlineStr">
        <is>
          <t>Generic make-call failure (500) shows Dial Error and clears session</t>
        </is>
      </c>
      <c r="D30" s="18" t="inlineStr">
        <is>
          <t>Medium</t>
        </is>
      </c>
      <c r="E30" s="17" t="inlineStr">
        <is>
          <t>Negative</t>
        </is>
      </c>
      <c r="F30" s="17" t="inlineStr">
        <is>
          <t>Admin on Dial tab; agent On Duty; force make-call to return 500.</t>
        </is>
      </c>
      <c r="G30" s="17" t="inlineStr">
        <is>
          <t>1. Force the make-call endpoint to 500.
2. Click 'Call' on a valid patient.
3. Observe the toast and the HUD.</t>
        </is>
      </c>
      <c r="H30" s="17" t="inlineStr">
        <is>
          <t>N/A</t>
        </is>
      </c>
      <c r="I30" s="17" t="inlineStr">
        <is>
          <t>Destructive toast 'Dial Error' with the error message (fallback 'Failed to connect call via Exotel.'); the optimistic Live Session is removed and the agent is no longer Busy.</t>
        </is>
      </c>
      <c r="J30" s="17" t="inlineStr">
        <is>
          <t>POST /api/exotel/make-call</t>
        </is>
      </c>
      <c r="K30" s="14" t="inlineStr"/>
      <c r="L30" s="15" t="inlineStr">
        <is>
          <t>Not Executed</t>
        </is>
      </c>
      <c r="M30" s="15" t="inlineStr"/>
      <c r="N30" s="15" t="inlineStr"/>
      <c r="O30" s="15" t="inlineStr"/>
      <c r="P30" s="14" t="inlineStr"/>
    </row>
    <row r="31" ht="45" customHeight="1">
      <c r="A31" s="16" t="inlineStr">
        <is>
          <t>CL-030</t>
        </is>
      </c>
      <c r="B31" s="17" t="inlineStr">
        <is>
          <t>Initiate Call (Exotel)</t>
        </is>
      </c>
      <c r="C31" s="17" t="inlineStr">
        <is>
          <t>make-call request omitting from/to is rejected (400) by backend</t>
        </is>
      </c>
      <c r="D31" s="18" t="inlineStr">
        <is>
          <t>Medium</t>
        </is>
      </c>
      <c r="E31" s="17" t="inlineStr">
        <is>
          <t>API</t>
        </is>
      </c>
      <c r="F31" s="17" t="inlineStr">
        <is>
          <t>Tooling to POST directly (Postman/curl) to the backend.</t>
        </is>
      </c>
      <c r="G31" s="17" t="inlineStr">
        <is>
          <t>1. POST /api/exotel/make-call with body {} (no from/to).
2. Inspect the response.</t>
        </is>
      </c>
      <c r="H31" s="17" t="inlineStr">
        <is>
          <t>Body: {}</t>
        </is>
      </c>
      <c r="I31" s="17" t="inlineStr">
        <is>
          <t>Backend returns 400 with {"error":"Missing from or to number"}.</t>
        </is>
      </c>
      <c r="J31" s="17" t="inlineStr">
        <is>
          <t>POST /api/exotel/make-call</t>
        </is>
      </c>
      <c r="K31" s="14" t="inlineStr"/>
      <c r="L31" s="15" t="inlineStr">
        <is>
          <t>Not Executed</t>
        </is>
      </c>
      <c r="M31" s="15" t="inlineStr"/>
      <c r="N31" s="15" t="inlineStr"/>
      <c r="O31" s="15" t="inlineStr"/>
      <c r="P31" s="14" t="inlineStr"/>
    </row>
    <row r="32" ht="60" customHeight="1">
      <c r="A32" s="16" t="inlineStr">
        <is>
          <t>CL-031</t>
        </is>
      </c>
      <c r="B32" s="17" t="inlineStr">
        <is>
          <t>Initiate Call (Exotel)</t>
        </is>
      </c>
      <c r="C32" s="17" t="inlineStr">
        <is>
          <t>Re-clicking Call on an already-dialing patient is prevented</t>
        </is>
      </c>
      <c r="D32" s="22" t="inlineStr">
        <is>
          <t>Low</t>
        </is>
      </c>
      <c r="E32" s="17" t="inlineStr">
        <is>
          <t>Edge Case</t>
        </is>
      </c>
      <c r="F32" s="17" t="inlineStr">
        <is>
          <t>Admin; a call is already initiated for a patient (HUD session active).</t>
        </is>
      </c>
      <c r="G32" s="17" t="inlineStr">
        <is>
          <t>1. Initiate a call on a patient.
2. Attempt to click the same patient's call button again while it shows 'Dialing...'/'Connected'.</t>
        </is>
      </c>
      <c r="H32" s="17" t="inlineStr">
        <is>
          <t>N/A</t>
        </is>
      </c>
      <c r="I32" s="17" t="inlineStr">
        <is>
          <t>The button is disabled (isCalling true) and shows a spinner with 'Dialing...' then 'Connected'; no duplicate make-call is sent for that patient.</t>
        </is>
      </c>
      <c r="J32" s="17" t="inlineStr">
        <is>
          <t>N/A</t>
        </is>
      </c>
      <c r="K32" s="14" t="inlineStr"/>
      <c r="L32" s="15" t="inlineStr">
        <is>
          <t>Not Executed</t>
        </is>
      </c>
      <c r="M32" s="15" t="inlineStr"/>
      <c r="N32" s="15" t="inlineStr"/>
      <c r="O32" s="15" t="inlineStr"/>
      <c r="P32" s="14" t="inlineStr"/>
    </row>
    <row r="33" ht="75" customHeight="1">
      <c r="A33" s="11" t="inlineStr">
        <is>
          <t>CL-032</t>
        </is>
      </c>
      <c r="B33" s="12" t="inlineStr">
        <is>
          <t>Live Call HUD</t>
        </is>
      </c>
      <c r="C33" s="12" t="inlineStr">
        <is>
          <t>Call HUD appears with active sessions and collapses/expands</t>
        </is>
      </c>
      <c r="D33" s="19" t="inlineStr">
        <is>
          <t>Medium</t>
        </is>
      </c>
      <c r="E33" s="12" t="inlineStr">
        <is>
          <t>UI/UX</t>
        </is>
      </c>
      <c r="F33" s="12" t="inlineStr">
        <is>
          <t>Admin; at least one active call session.</t>
        </is>
      </c>
      <c r="G33" s="12" t="inlineStr">
        <is>
          <t>1. Initiate a call so a session is active.
2. Observe the fixed bottom-right HUD header 'Live Sessions (N)'.
3. Click the chevron to collapse, then expand.</t>
        </is>
      </c>
      <c r="H33" s="12" t="inlineStr">
        <is>
          <t>N/A</t>
        </is>
      </c>
      <c r="I33" s="12" t="inlineStr">
        <is>
          <t>HUD shows a pulsing green dot and 'Live Sessions (1)'; each row shows patient/target name and 'with &lt;first agent name&gt;'. Chevron toggles the body open/closed. With zero sessions the HUD is not rendered.</t>
        </is>
      </c>
      <c r="J33" s="12" t="inlineStr">
        <is>
          <t>N/A</t>
        </is>
      </c>
      <c r="K33" s="14" t="inlineStr"/>
      <c r="L33" s="15" t="inlineStr">
        <is>
          <t>Not Executed</t>
        </is>
      </c>
      <c r="M33" s="15" t="inlineStr"/>
      <c r="N33" s="15" t="inlineStr"/>
      <c r="O33" s="15" t="inlineStr"/>
      <c r="P33" s="14" t="inlineStr"/>
    </row>
    <row r="34" ht="75" customHeight="1">
      <c r="A34" s="11" t="inlineStr">
        <is>
          <t>CL-033</t>
        </is>
      </c>
      <c r="B34" s="12" t="inlineStr">
        <is>
          <t>Live Call HUD</t>
        </is>
      </c>
      <c r="C34" s="12" t="inlineStr">
        <is>
          <t>End Session from the HUD frees the agent and removes the session</t>
        </is>
      </c>
      <c r="D34" s="13" t="inlineStr">
        <is>
          <t>High</t>
        </is>
      </c>
      <c r="E34" s="12" t="inlineStr">
        <is>
          <t>Functional</t>
        </is>
      </c>
      <c r="F34" s="12" t="inlineStr">
        <is>
          <t>Admin; an active call session in the HUD; agent marked Busy.</t>
        </is>
      </c>
      <c r="G34" s="12" t="inlineStr">
        <is>
          <t>1. In the HUD, click the red X 'End Session' on the session.
2. Observe the HUD, the toast and the agent's Busy chip.</t>
        </is>
      </c>
      <c r="H34" s="12" t="inlineStr">
        <is>
          <t>N/A</t>
        </is>
      </c>
      <c r="I34" s="12" t="inlineStr">
        <is>
          <t>The session is removed from the HUD; toast 'Call Session Ended - You are now available for new calls.'; the associated agent's Busy flag clears (becomes available again).</t>
        </is>
      </c>
      <c r="J34" s="12" t="inlineStr">
        <is>
          <t>N/A</t>
        </is>
      </c>
      <c r="K34" s="14" t="inlineStr"/>
      <c r="L34" s="15" t="inlineStr">
        <is>
          <t>Not Executed</t>
        </is>
      </c>
      <c r="M34" s="15" t="inlineStr"/>
      <c r="N34" s="15" t="inlineStr"/>
      <c r="O34" s="15" t="inlineStr"/>
      <c r="P34" s="14" t="inlineStr"/>
    </row>
    <row r="35" ht="45" customHeight="1">
      <c r="A35" s="11" t="inlineStr">
        <is>
          <t>CL-034</t>
        </is>
      </c>
      <c r="B35" s="12" t="inlineStr">
        <is>
          <t>Live Call HUD</t>
        </is>
      </c>
      <c r="C35" s="12" t="inlineStr">
        <is>
          <t>Document (SOP) button in HUD opens the SOP modal pre-filled</t>
        </is>
      </c>
      <c r="D35" s="19" t="inlineStr">
        <is>
          <t>Medium</t>
        </is>
      </c>
      <c r="E35" s="12" t="inlineStr">
        <is>
          <t>Functional</t>
        </is>
      </c>
      <c r="F35" s="12" t="inlineStr">
        <is>
          <t>Admin; an active session in the HUD.</t>
        </is>
      </c>
      <c r="G35" s="12" t="inlineStr">
        <is>
          <t>1. Click the clipboard 'Document Call (SOP)' icon on a HUD session.
2. Observe the SOP modal.</t>
        </is>
      </c>
      <c r="H35" s="12" t="inlineStr">
        <is>
          <t>N/A</t>
        </is>
      </c>
      <c r="I35" s="12" t="inlineStr">
        <is>
          <t>The SOP Documentation modal opens with Patient Name pre-filled from the session and editable SOP fields (see CL-037).</t>
        </is>
      </c>
      <c r="J35" s="12" t="inlineStr">
        <is>
          <t>N/A</t>
        </is>
      </c>
      <c r="K35" s="14" t="inlineStr"/>
      <c r="L35" s="15" t="inlineStr">
        <is>
          <t>Not Executed</t>
        </is>
      </c>
      <c r="M35" s="15" t="inlineStr"/>
      <c r="N35" s="15" t="inlineStr"/>
      <c r="O35" s="15" t="inlineStr"/>
      <c r="P35" s="14" t="inlineStr"/>
    </row>
    <row r="36" ht="75" customHeight="1">
      <c r="A36" s="11" t="inlineStr">
        <is>
          <t>CL-035</t>
        </is>
      </c>
      <c r="B36" s="12" t="inlineStr">
        <is>
          <t>Live Call HUD</t>
        </is>
      </c>
      <c r="C36" s="12" t="inlineStr">
        <is>
          <t>Call-status polling auto-ends a session on terminal status</t>
        </is>
      </c>
      <c r="D36" s="19" t="inlineStr">
        <is>
          <t>Medium</t>
        </is>
      </c>
      <c r="E36" s="12" t="inlineStr">
        <is>
          <t>Functional</t>
        </is>
      </c>
      <c r="F36" s="12" t="inlineStr">
        <is>
          <t>Admin; an active session that has a returned Exotel Sid.</t>
        </is>
      </c>
      <c r="G36" s="12" t="inlineStr">
        <is>
          <t>1. Initiate a call that returns a Sid.
2. Have the call reach a terminal status (completed/failed/busy/no-answer/canceled) on the Exotel side.
3. Wait up to ~5s and observe the HUD.</t>
        </is>
      </c>
      <c r="H36" s="12" t="inlineStr">
        <is>
          <t>N/A</t>
        </is>
      </c>
      <c r="I36" s="12" t="inlineStr">
        <is>
          <t>Every 5s the UI polls GET /api/exotel/call-status/&lt;sid&gt;; when the returned Status is terminal the session is auto-ended (removed from HUD, agent freed). Failed status checks are swallowed silently.</t>
        </is>
      </c>
      <c r="J36" s="12" t="inlineStr">
        <is>
          <t>GET /api/exotel/call-status/{call_sid}</t>
        </is>
      </c>
      <c r="K36" s="14" t="inlineStr"/>
      <c r="L36" s="15" t="inlineStr">
        <is>
          <t>Not Executed</t>
        </is>
      </c>
      <c r="M36" s="15" t="inlineStr"/>
      <c r="N36" s="15" t="inlineStr"/>
      <c r="O36" s="15" t="inlineStr"/>
      <c r="P36" s="14" t="inlineStr"/>
    </row>
    <row r="37" ht="75" customHeight="1">
      <c r="A37" s="11" t="inlineStr">
        <is>
          <t>CL-036</t>
        </is>
      </c>
      <c r="B37" s="12" t="inlineStr">
        <is>
          <t>Live Call HUD</t>
        </is>
      </c>
      <c r="C37" s="12" t="inlineStr">
        <is>
          <t>Dialing session auto-clears after 30s if it never connects</t>
        </is>
      </c>
      <c r="D37" s="20" t="inlineStr">
        <is>
          <t>Low</t>
        </is>
      </c>
      <c r="E37" s="12" t="inlineStr">
        <is>
          <t>Edge Case</t>
        </is>
      </c>
      <c r="F37" s="12" t="inlineStr">
        <is>
          <t>Admin; a make-call that never transitions to in-progress (no Sid).</t>
        </is>
      </c>
      <c r="G37" s="12" t="inlineStr">
        <is>
          <t>1. Initiate a call where no Sid/in-progress status is returned.
2. Wait ~30 seconds without acting.
3. Observe the HUD and the agent status.</t>
        </is>
      </c>
      <c r="H37" s="12" t="inlineStr">
        <is>
          <t>N/A</t>
        </is>
      </c>
      <c r="I37" s="12" t="inlineStr">
        <is>
          <t>After 30s the unconnected session is removed and the agent's Busy flag is cleared automatically (per the setTimeout cleanup). A session already 'in-progress' is left intact.</t>
        </is>
      </c>
      <c r="J37" s="12" t="inlineStr">
        <is>
          <t>N/A</t>
        </is>
      </c>
      <c r="K37" s="14" t="inlineStr"/>
      <c r="L37" s="15" t="inlineStr">
        <is>
          <t>Not Executed</t>
        </is>
      </c>
      <c r="M37" s="15" t="inlineStr"/>
      <c r="N37" s="15" t="inlineStr"/>
      <c r="O37" s="15" t="inlineStr"/>
      <c r="P37" s="14" t="inlineStr"/>
    </row>
    <row r="38" ht="150" customHeight="1">
      <c r="A38" s="16" t="inlineStr">
        <is>
          <t>CL-037</t>
        </is>
      </c>
      <c r="B38" s="17" t="inlineStr">
        <is>
          <t>SOP Documentation Modal</t>
        </is>
      </c>
      <c r="C38" s="17" t="inlineStr">
        <is>
          <t>Open SOP modal from a queue row and verify all fields</t>
        </is>
      </c>
      <c r="D38" s="21" t="inlineStr">
        <is>
          <t>High</t>
        </is>
      </c>
      <c r="E38" s="17" t="inlineStr">
        <is>
          <t>UI/UX</t>
        </is>
      </c>
      <c r="F38" s="17" t="inlineStr">
        <is>
          <t>Admin on Dial tab.</t>
        </is>
      </c>
      <c r="G38" s="17" t="inlineStr">
        <is>
          <t>1. Click the clipboard 'Manual Documentation' button on a patient row.
2. Inspect every field in the modal.</t>
        </is>
      </c>
      <c r="H38" s="17" t="inlineStr">
        <is>
          <t>Any patient</t>
        </is>
      </c>
      <c r="I38" s="17" t="inlineStr">
        <is>
          <t>Modal 'Call Documentation / SOP Compliance Form' opens. Patient Name is disabled/pre-filled; editable fields: Staff/Clinician Name, Staff Phone No., Patient Phone Number, Relation (self/spouse/child/sibling/caregiver/other), Severity (low/medium/high/critical), Reason, Symptoms, Advice, Internal Notes, and an 'Flag for Roster Lead Escalation' checkbox. Close (X) and 'Save Documentation' buttons present.</t>
        </is>
      </c>
      <c r="J38" s="17" t="inlineStr">
        <is>
          <t>N/A</t>
        </is>
      </c>
      <c r="K38" s="14" t="inlineStr"/>
      <c r="L38" s="15" t="inlineStr">
        <is>
          <t>Not Executed</t>
        </is>
      </c>
      <c r="M38" s="15" t="inlineStr"/>
      <c r="N38" s="15" t="inlineStr"/>
      <c r="O38" s="15" t="inlineStr"/>
      <c r="P38" s="14" t="inlineStr"/>
    </row>
    <row r="39" ht="75" customHeight="1">
      <c r="A39" s="16" t="inlineStr">
        <is>
          <t>CL-038</t>
        </is>
      </c>
      <c r="B39" s="17" t="inlineStr">
        <is>
          <t>SOP Documentation Modal</t>
        </is>
      </c>
      <c r="C39" s="17" t="inlineStr">
        <is>
          <t>Save SOP documentation persists and shows success toast</t>
        </is>
      </c>
      <c r="D39" s="21" t="inlineStr">
        <is>
          <t>High</t>
        </is>
      </c>
      <c r="E39" s="17" t="inlineStr">
        <is>
          <t>Functional</t>
        </is>
      </c>
      <c r="F39" s="17" t="inlineStr">
        <is>
          <t>Admin; SOP modal open for a known patient.</t>
        </is>
      </c>
      <c r="G39" s="17" t="inlineStr">
        <is>
          <t>1. Fill Staff Name, Reason ('Fever follow-up'), Severity 'medium', Symptoms, Advice.
2. Click 'Save Documentation'.
3. Inspect the toast and the POST payload.</t>
        </is>
      </c>
      <c r="H39" s="17" t="inlineStr">
        <is>
          <t>Staff: Nurse Priya; Reason: Fever follow-up; Severity: medium</t>
        </is>
      </c>
      <c r="I39" s="17" t="inlineStr">
        <is>
          <t>POST /api/exotel/sop fires with the full sopData plus patient_id from selectedCall; returns 201; toast 'SOP Saved - Documentation has been persisted to the patient record.'; modal closes.</t>
        </is>
      </c>
      <c r="J39" s="17" t="inlineStr">
        <is>
          <t>POST /api/exotel/sop</t>
        </is>
      </c>
      <c r="K39" s="14" t="inlineStr"/>
      <c r="L39" s="15" t="inlineStr">
        <is>
          <t>Not Executed</t>
        </is>
      </c>
      <c r="M39" s="15" t="inlineStr"/>
      <c r="N39" s="15" t="inlineStr"/>
      <c r="O39" s="15" t="inlineStr"/>
      <c r="P39" s="14" t="inlineStr"/>
    </row>
    <row r="40" ht="75" customHeight="1">
      <c r="A40" s="16" t="inlineStr">
        <is>
          <t>CL-039</t>
        </is>
      </c>
      <c r="B40" s="17" t="inlineStr">
        <is>
          <t>SOP Documentation Modal</t>
        </is>
      </c>
      <c r="C40" s="17" t="inlineStr">
        <is>
          <t>Save SOP with the escalate flag checked refreshes the Escalated list</t>
        </is>
      </c>
      <c r="D40" s="21" t="inlineStr">
        <is>
          <t>High</t>
        </is>
      </c>
      <c r="E40" s="17" t="inlineStr">
        <is>
          <t>Data Integrity</t>
        </is>
      </c>
      <c r="F40" s="17" t="inlineStr">
        <is>
          <t>Admin; SOP modal open; severity high.</t>
        </is>
      </c>
      <c r="G40" s="17" t="inlineStr">
        <is>
          <t>1. Set Severity 'high', tick 'Flag for Roster Lead Escalation', add a Reason.
2. Click 'Save Documentation'.
3. Switch to the Escalated tab.</t>
        </is>
      </c>
      <c r="H40" s="17" t="inlineStr">
        <is>
          <t>Severity: high; escalate: true; Reason: Severe breathlessness</t>
        </is>
      </c>
      <c r="I40" s="17" t="inlineStr">
        <is>
          <t>POST /api/exotel/sop succeeds; after save the app calls GET /api/exotel/sop (escalations) again; the new escalation appears in the Escalated tab with red severity bar and 'high priority' badge.</t>
        </is>
      </c>
      <c r="J40" s="17" t="inlineStr">
        <is>
          <t>POST /api/exotel/sop ; GET /api/exotel/sop</t>
        </is>
      </c>
      <c r="K40" s="14" t="inlineStr"/>
      <c r="L40" s="15" t="inlineStr">
        <is>
          <t>Not Executed</t>
        </is>
      </c>
      <c r="M40" s="15" t="inlineStr"/>
      <c r="N40" s="15" t="inlineStr"/>
      <c r="O40" s="15" t="inlineStr"/>
      <c r="P40" s="14" t="inlineStr"/>
    </row>
    <row r="41" ht="75" customHeight="1">
      <c r="A41" s="16" t="inlineStr">
        <is>
          <t>CL-040</t>
        </is>
      </c>
      <c r="B41" s="17" t="inlineStr">
        <is>
          <t>SOP Documentation Modal</t>
        </is>
      </c>
      <c r="C41" s="17" t="inlineStr">
        <is>
          <t>SOP save failure shows destructive toast with status code</t>
        </is>
      </c>
      <c r="D41" s="18" t="inlineStr">
        <is>
          <t>Medium</t>
        </is>
      </c>
      <c r="E41" s="17" t="inlineStr">
        <is>
          <t>Negative</t>
        </is>
      </c>
      <c r="F41" s="17" t="inlineStr">
        <is>
          <t>Admin; SOP modal open; force POST /api/exotel/sop to 500.</t>
        </is>
      </c>
      <c r="G41" s="17" t="inlineStr">
        <is>
          <t>1. Force the SOP endpoint to error.
2. Fill the form and click 'Save Documentation'.</t>
        </is>
      </c>
      <c r="H41" s="17" t="inlineStr">
        <is>
          <t>N/A</t>
        </is>
      </c>
      <c r="I41" s="17" t="inlineStr">
        <is>
          <t>Destructive toast 'Save Failed (500)' (or the returned code) with the backend error message or fallback 'Could not save SOP documentation.'; the modal remains open so data is not lost.</t>
        </is>
      </c>
      <c r="J41" s="17" t="inlineStr">
        <is>
          <t>POST /api/exotel/sop</t>
        </is>
      </c>
      <c r="K41" s="14" t="inlineStr"/>
      <c r="L41" s="15" t="inlineStr">
        <is>
          <t>Not Executed</t>
        </is>
      </c>
      <c r="M41" s="15" t="inlineStr"/>
      <c r="N41" s="15" t="inlineStr"/>
      <c r="O41" s="15" t="inlineStr"/>
      <c r="P41" s="14" t="inlineStr"/>
    </row>
    <row r="42" ht="90" customHeight="1">
      <c r="A42" s="16" t="inlineStr">
        <is>
          <t>CL-041</t>
        </is>
      </c>
      <c r="B42" s="17" t="inlineStr">
        <is>
          <t>SOP Documentation Modal</t>
        </is>
      </c>
      <c r="C42" s="17" t="inlineStr">
        <is>
          <t>SOP free-text fields accept long text and special characters</t>
        </is>
      </c>
      <c r="D42" s="22" t="inlineStr">
        <is>
          <t>Low</t>
        </is>
      </c>
      <c r="E42" s="17" t="inlineStr">
        <is>
          <t>Validation</t>
        </is>
      </c>
      <c r="F42" s="17" t="inlineStr">
        <is>
          <t>Admin; SOP modal open.</t>
        </is>
      </c>
      <c r="G42" s="17" t="inlineStr">
        <is>
          <t>1. Paste a 2000+ character string into Symptoms and Internal Notes.
2. Enter special characters &amp; non-Latin script in Reason (e.g. 'Fever &lt;&gt;&amp;\"' and 'காய்ச்சல்').
3. Save and re-open via History &gt; SOP Documentation &gt; View Details.</t>
        </is>
      </c>
      <c r="H42" s="17" t="inlineStr">
        <is>
          <t>Long Lorem text; Reason: Fever &lt;&gt;&amp;\" காய்ச்சல்</t>
        </is>
      </c>
      <c r="I42" s="17" t="inlineStr">
        <is>
          <t>Long text and special/Unicode characters are accepted, saved (no truncation error, no script injection), and render correctly when viewed; no XSS executes.</t>
        </is>
      </c>
      <c r="J42" s="17" t="inlineStr">
        <is>
          <t>POST /api/exotel/sop</t>
        </is>
      </c>
      <c r="K42" s="14" t="inlineStr"/>
      <c r="L42" s="15" t="inlineStr">
        <is>
          <t>Not Executed</t>
        </is>
      </c>
      <c r="M42" s="15" t="inlineStr"/>
      <c r="N42" s="15" t="inlineStr"/>
      <c r="O42" s="15" t="inlineStr"/>
      <c r="P42" s="14" t="inlineStr"/>
    </row>
    <row r="43" ht="60" customHeight="1">
      <c r="A43" s="16" t="inlineStr">
        <is>
          <t>CL-042</t>
        </is>
      </c>
      <c r="B43" s="17" t="inlineStr">
        <is>
          <t>SOP Documentation Modal</t>
        </is>
      </c>
      <c r="C43" s="17" t="inlineStr">
        <is>
          <t>Close / X dismisses the SOP modal without saving</t>
        </is>
      </c>
      <c r="D43" s="22" t="inlineStr">
        <is>
          <t>Low</t>
        </is>
      </c>
      <c r="E43" s="17" t="inlineStr">
        <is>
          <t>Functional</t>
        </is>
      </c>
      <c r="F43" s="17" t="inlineStr">
        <is>
          <t>Admin; SOP modal open with edits.</t>
        </is>
      </c>
      <c r="G43" s="17" t="inlineStr">
        <is>
          <t>1. Enter some text in Reason.
2. Click the header X (and separately the footer 'Close').
3. Confirm no save occurred.</t>
        </is>
      </c>
      <c r="H43" s="17" t="inlineStr">
        <is>
          <t>N/A</t>
        </is>
      </c>
      <c r="I43" s="17" t="inlineStr">
        <is>
          <t>Either control closes the modal; no POST /api/exotel/sop is sent; the entered data is discarded (modal state resets on next open).</t>
        </is>
      </c>
      <c r="J43" s="17" t="inlineStr">
        <is>
          <t>N/A</t>
        </is>
      </c>
      <c r="K43" s="14" t="inlineStr"/>
      <c r="L43" s="15" t="inlineStr">
        <is>
          <t>Not Executed</t>
        </is>
      </c>
      <c r="M43" s="15" t="inlineStr"/>
      <c r="N43" s="15" t="inlineStr"/>
      <c r="O43" s="15" t="inlineStr"/>
      <c r="P43" s="14" t="inlineStr"/>
    </row>
    <row r="44" ht="105" customHeight="1">
      <c r="A44" s="11" t="inlineStr">
        <is>
          <t>CL-043</t>
        </is>
      </c>
      <c r="B44" s="12" t="inlineStr">
        <is>
          <t>History - Call Logs</t>
        </is>
      </c>
      <c r="C44" s="12" t="inlineStr">
        <is>
          <t>History tab loads Exotel call logs and stat cards</t>
        </is>
      </c>
      <c r="D44" s="13" t="inlineStr">
        <is>
          <t>High</t>
        </is>
      </c>
      <c r="E44" s="12" t="inlineStr">
        <is>
          <t>Functional</t>
        </is>
      </c>
      <c r="F44" s="12" t="inlineStr">
        <is>
          <t>Admin; Exotel returns calls for the default range (last 1 month).</t>
        </is>
      </c>
      <c r="G44" s="12" t="inlineStr">
        <is>
          <t>1. Click the 'History' tab.
2. Observe the four stat cards and the Call Logs sub-tab list.</t>
        </is>
      </c>
      <c r="H44" s="12" t="inlineStr">
        <is>
          <t>Default range: last 1 month</t>
        </is>
      </c>
      <c r="I44" s="12" t="inlineStr">
        <is>
          <t>GET /api/exotel/calls is called with start_date/end_date; stat cards show Total Volume, Inbound, Outbound, Failed/Missed (failed counts statuses failed/no-answer/busy). The CallLogs list renders one card per call with From -&gt; To, date, duration, and a status badge.</t>
        </is>
      </c>
      <c r="J44" s="12" t="inlineStr">
        <is>
          <t>GET /api/exotel/calls</t>
        </is>
      </c>
      <c r="K44" s="14" t="inlineStr"/>
      <c r="L44" s="15" t="inlineStr">
        <is>
          <t>Not Executed</t>
        </is>
      </c>
      <c r="M44" s="15" t="inlineStr"/>
      <c r="N44" s="15" t="inlineStr"/>
      <c r="O44" s="15" t="inlineStr"/>
      <c r="P44" s="14" t="inlineStr"/>
    </row>
    <row r="45" ht="60" customHeight="1">
      <c r="A45" s="11" t="inlineStr">
        <is>
          <t>CL-044</t>
        </is>
      </c>
      <c r="B45" s="12" t="inlineStr">
        <is>
          <t>History - Call Logs</t>
        </is>
      </c>
      <c r="C45" s="12" t="inlineStr">
        <is>
          <t>Call log status badge colours map correctly</t>
        </is>
      </c>
      <c r="D45" s="20" t="inlineStr">
        <is>
          <t>Low</t>
        </is>
      </c>
      <c r="E45" s="12" t="inlineStr">
        <is>
          <t>UI/UX</t>
        </is>
      </c>
      <c r="F45" s="12" t="inlineStr">
        <is>
          <t>Admin; calls with mixed statuses (completed/busy/failed/no-answer).</t>
        </is>
      </c>
      <c r="G45" s="12" t="inlineStr">
        <is>
          <t>1. On the History &gt; Call Logs sub-tab, inspect each call card's status badge.</t>
        </is>
      </c>
      <c r="H45" s="12" t="inlineStr">
        <is>
          <t>Calls with statuses completed/busy/failed/no-answer</t>
        </is>
      </c>
      <c r="I45" s="12" t="inlineStr">
        <is>
          <t>completed -&gt; green, busy -&gt; amber, failed -&gt; red, no-answer -&gt; gray; an unknown status falls back to the muted/secondary style.</t>
        </is>
      </c>
      <c r="J45" s="12" t="inlineStr">
        <is>
          <t>GET /api/exotel/calls</t>
        </is>
      </c>
      <c r="K45" s="14" t="inlineStr"/>
      <c r="L45" s="15" t="inlineStr">
        <is>
          <t>Not Executed</t>
        </is>
      </c>
      <c r="M45" s="15" t="inlineStr"/>
      <c r="N45" s="15" t="inlineStr"/>
      <c r="O45" s="15" t="inlineStr"/>
      <c r="P45" s="14" t="inlineStr"/>
    </row>
    <row r="46" ht="60" customHeight="1">
      <c r="A46" s="11" t="inlineStr">
        <is>
          <t>CL-045</t>
        </is>
      </c>
      <c r="B46" s="12" t="inlineStr">
        <is>
          <t>History - Call Logs</t>
        </is>
      </c>
      <c r="C46" s="12" t="inlineStr">
        <is>
          <t>Call recording player renders only when a RecordingUrl exists</t>
        </is>
      </c>
      <c r="D46" s="20" t="inlineStr">
        <is>
          <t>Low</t>
        </is>
      </c>
      <c r="E46" s="12" t="inlineStr">
        <is>
          <t>UI/UX</t>
        </is>
      </c>
      <c r="F46" s="12" t="inlineStr">
        <is>
          <t>Admin; at least one call with RecordingUrl and one without.</t>
        </is>
      </c>
      <c r="G46" s="12" t="inlineStr">
        <is>
          <t>1. Locate a call card that has a recording and one that does not.
2. Verify the audio player presence and that it plays.</t>
        </is>
      </c>
      <c r="H46" s="12" t="inlineStr">
        <is>
          <t>N/A</t>
        </is>
      </c>
      <c r="I46" s="12" t="inlineStr">
        <is>
          <t>Cards with RecordingUrl show a 'Recording' label and an HTML5 audio player that streams the source; cards without a recording show no player.</t>
        </is>
      </c>
      <c r="J46" s="12" t="inlineStr">
        <is>
          <t>GET /api/exotel/calls</t>
        </is>
      </c>
      <c r="K46" s="14" t="inlineStr"/>
      <c r="L46" s="15" t="inlineStr">
        <is>
          <t>Not Executed</t>
        </is>
      </c>
      <c r="M46" s="15" t="inlineStr"/>
      <c r="N46" s="15" t="inlineStr"/>
      <c r="O46" s="15" t="inlineStr"/>
      <c r="P46" s="14" t="inlineStr"/>
    </row>
    <row r="47" ht="60" customHeight="1">
      <c r="A47" s="11" t="inlineStr">
        <is>
          <t>CL-046</t>
        </is>
      </c>
      <c r="B47" s="12" t="inlineStr">
        <is>
          <t>History - Call Logs</t>
        </is>
      </c>
      <c r="C47" s="12" t="inlineStr">
        <is>
          <t>Date-range filter re-queries call logs</t>
        </is>
      </c>
      <c r="D47" s="19" t="inlineStr">
        <is>
          <t>Medium</t>
        </is>
      </c>
      <c r="E47" s="12" t="inlineStr">
        <is>
          <t>Functional</t>
        </is>
      </c>
      <c r="F47" s="12" t="inlineStr">
        <is>
          <t>Admin on History tab.</t>
        </is>
      </c>
      <c r="G47" s="12" t="inlineStr">
        <is>
          <t>1. Open the DateRangePicker and select a narrower custom range.
2. Observe the Network call and the refreshed list/stats.</t>
        </is>
      </c>
      <c r="H47" s="12" t="inlineStr">
        <is>
          <t>Range: 2026-05-01 to 2026-05-15</t>
        </is>
      </c>
      <c r="I47" s="12" t="inlineStr">
        <is>
          <t>GET /api/exotel/calls fires with the new start_date/end_date (ISO); both the stat cards and the call list refresh to reflect that window.</t>
        </is>
      </c>
      <c r="J47" s="12" t="inlineStr">
        <is>
          <t>GET /api/exotel/calls</t>
        </is>
      </c>
      <c r="K47" s="14" t="inlineStr"/>
      <c r="L47" s="15" t="inlineStr">
        <is>
          <t>Not Executed</t>
        </is>
      </c>
      <c r="M47" s="15" t="inlineStr"/>
      <c r="N47" s="15" t="inlineStr"/>
      <c r="O47" s="15" t="inlineStr"/>
      <c r="P47" s="14" t="inlineStr"/>
    </row>
    <row r="48" ht="75" customHeight="1">
      <c r="A48" s="11" t="inlineStr">
        <is>
          <t>CL-047</t>
        </is>
      </c>
      <c r="B48" s="12" t="inlineStr">
        <is>
          <t>History - Call Logs</t>
        </is>
      </c>
      <c r="C48" s="12" t="inlineStr">
        <is>
          <t>Refresh button re-fetches the active History sub-tab</t>
        </is>
      </c>
      <c r="D48" s="20" t="inlineStr">
        <is>
          <t>Low</t>
        </is>
      </c>
      <c r="E48" s="12" t="inlineStr">
        <is>
          <t>Functional</t>
        </is>
      </c>
      <c r="F48" s="12" t="inlineStr">
        <is>
          <t>Admin on History tab.</t>
        </is>
      </c>
      <c r="G48" s="12" t="inlineStr">
        <is>
          <t>1. Click the refresh (RefreshCw) icon button.
2. Observe the spinner and the Network tab.</t>
        </is>
      </c>
      <c r="H48" s="12" t="inlineStr">
        <is>
          <t>N/A</t>
        </is>
      </c>
      <c r="I48" s="12" t="inlineStr">
        <is>
          <t>On the Call Logs sub-tab it re-calls GET /api/exotel/calls (stat refresh); on the SOP sub-tab it re-calls GET /api/exotel/sop/history. The icon animates (spins) while loading.</t>
        </is>
      </c>
      <c r="J48" s="12" t="inlineStr">
        <is>
          <t>GET /api/exotel/calls</t>
        </is>
      </c>
      <c r="K48" s="14" t="inlineStr"/>
      <c r="L48" s="15" t="inlineStr">
        <is>
          <t>Not Executed</t>
        </is>
      </c>
      <c r="M48" s="15" t="inlineStr"/>
      <c r="N48" s="15" t="inlineStr"/>
      <c r="O48" s="15" t="inlineStr"/>
      <c r="P48" s="14" t="inlineStr"/>
    </row>
    <row r="49" ht="45" customHeight="1">
      <c r="A49" s="11" t="inlineStr">
        <is>
          <t>CL-048</t>
        </is>
      </c>
      <c r="B49" s="12" t="inlineStr">
        <is>
          <t>History - Call Logs</t>
        </is>
      </c>
      <c r="C49" s="12" t="inlineStr">
        <is>
          <t>Empty call history shows 'No call logs found'</t>
        </is>
      </c>
      <c r="D49" s="19" t="inlineStr">
        <is>
          <t>Medium</t>
        </is>
      </c>
      <c r="E49" s="12" t="inlineStr">
        <is>
          <t>Edge Case</t>
        </is>
      </c>
      <c r="F49" s="12" t="inlineStr">
        <is>
          <t>Admin; choose a range with no calls (e.g. far-future window).</t>
        </is>
      </c>
      <c r="G49" s="12" t="inlineStr">
        <is>
          <t>1. Select a date range with no calls.
2. Observe the Call Logs list.</t>
        </is>
      </c>
      <c r="H49" s="12" t="inlineStr">
        <is>
          <t>Range: 2030-01-01 to 2030-01-02</t>
        </is>
      </c>
      <c r="I49" s="12" t="inlineStr">
        <is>
          <t>The list shows the dashed empty card 'No call logs found' with the phone icon and helper text; stat cards read 0.</t>
        </is>
      </c>
      <c r="J49" s="12" t="inlineStr">
        <is>
          <t>GET /api/exotel/calls</t>
        </is>
      </c>
      <c r="K49" s="14" t="inlineStr"/>
      <c r="L49" s="15" t="inlineStr">
        <is>
          <t>Not Executed</t>
        </is>
      </c>
      <c r="M49" s="15" t="inlineStr"/>
      <c r="N49" s="15" t="inlineStr"/>
      <c r="O49" s="15" t="inlineStr"/>
      <c r="P49" s="14" t="inlineStr"/>
    </row>
    <row r="50" ht="60" customHeight="1">
      <c r="A50" s="11" t="inlineStr">
        <is>
          <t>CL-049</t>
        </is>
      </c>
      <c r="B50" s="12" t="inlineStr">
        <is>
          <t>History - Call Logs</t>
        </is>
      </c>
      <c r="C50" s="12" t="inlineStr">
        <is>
          <t>Call logs fetch error shows connection alert</t>
        </is>
      </c>
      <c r="D50" s="19" t="inlineStr">
        <is>
          <t>Medium</t>
        </is>
      </c>
      <c r="E50" s="12" t="inlineStr">
        <is>
          <t>Negative</t>
        </is>
      </c>
      <c r="F50" s="12" t="inlineStr">
        <is>
          <t>Admin on History tab; force GET /api/exotel/calls to fail.</t>
        </is>
      </c>
      <c r="G50" s="12" t="inlineStr">
        <is>
          <t>1. Block / fail the calls endpoint.
2. Open / refresh the Call Logs sub-tab.</t>
        </is>
      </c>
      <c r="H50" s="12" t="inlineStr">
        <is>
          <t>N/A</t>
        </is>
      </c>
      <c r="I50" s="12" t="inlineStr">
        <is>
          <t>A destructive Alert 'Unable to connect to the call server. Please check your connection.' is shown inside the CallLogs list; the page does not crash.</t>
        </is>
      </c>
      <c r="J50" s="12" t="inlineStr">
        <is>
          <t>GET /api/exotel/calls</t>
        </is>
      </c>
      <c r="K50" s="14" t="inlineStr"/>
      <c r="L50" s="15" t="inlineStr">
        <is>
          <t>Not Executed</t>
        </is>
      </c>
      <c r="M50" s="15" t="inlineStr"/>
      <c r="N50" s="15" t="inlineStr"/>
      <c r="O50" s="15" t="inlineStr"/>
      <c r="P50" s="14" t="inlineStr"/>
    </row>
    <row r="51" ht="90" customHeight="1">
      <c r="A51" s="11" t="inlineStr">
        <is>
          <t>CL-050</t>
        </is>
      </c>
      <c r="B51" s="12" t="inlineStr">
        <is>
          <t>History - Call Logs</t>
        </is>
      </c>
      <c r="C51" s="12" t="inlineStr">
        <is>
          <t>Export button generates a call-history export for the range</t>
        </is>
      </c>
      <c r="D51" s="20" t="inlineStr">
        <is>
          <t>Low</t>
        </is>
      </c>
      <c r="E51" s="12" t="inlineStr">
        <is>
          <t>Functional</t>
        </is>
      </c>
      <c r="F51" s="12" t="inlineStr">
        <is>
          <t>Admin on History tab with data in range.</t>
        </is>
      </c>
      <c r="G51" s="12" t="inlineStr">
        <is>
          <t>1. Click the Export button.
2. Observe the produced export/download.</t>
        </is>
      </c>
      <c r="H51" s="12" t="inlineStr">
        <is>
          <t>Current range</t>
        </is>
      </c>
      <c r="I51" s="12" t="inlineStr">
        <is>
          <t>The ExportButton receives exportData {summary: stats, range, message} and viewType 'call_history' and produces an export reflecting the current date range summary. (No new Exotel call required for the summary export.)</t>
        </is>
      </c>
      <c r="J51" s="12" t="inlineStr">
        <is>
          <t>N/A</t>
        </is>
      </c>
      <c r="K51" s="14" t="inlineStr"/>
      <c r="L51" s="15" t="inlineStr">
        <is>
          <t>Not Executed</t>
        </is>
      </c>
      <c r="M51" s="15" t="inlineStr"/>
      <c r="N51" s="15" t="inlineStr"/>
      <c r="O51" s="15" t="inlineStr"/>
      <c r="P51" s="14" t="inlineStr"/>
    </row>
    <row r="52" ht="90" customHeight="1">
      <c r="A52" s="16" t="inlineStr">
        <is>
          <t>CL-051</t>
        </is>
      </c>
      <c r="B52" s="17" t="inlineStr">
        <is>
          <t>History - SOP Documentation</t>
        </is>
      </c>
      <c r="C52" s="17" t="inlineStr">
        <is>
          <t>SOP Documentation sub-tab lists paginated records</t>
        </is>
      </c>
      <c r="D52" s="21" t="inlineStr">
        <is>
          <t>High</t>
        </is>
      </c>
      <c r="E52" s="17" t="inlineStr">
        <is>
          <t>Functional</t>
        </is>
      </c>
      <c r="F52" s="17" t="inlineStr">
        <is>
          <t>Admin on History tab; &gt;10 SOP records in range.</t>
        </is>
      </c>
      <c r="G52" s="17" t="inlineStr">
        <is>
          <t>1. Switch the History sub-tab to 'SOP Documentation'.
2. Observe the list, record count footer and pagination.</t>
        </is>
      </c>
      <c r="H52" s="17" t="inlineStr">
        <is>
          <t>12 SOP records</t>
        </is>
      </c>
      <c r="I52" s="17" t="inlineStr">
        <is>
          <t>GET /api/exotel/sop/history?page=1&amp;per_page=10 is called; up to 10 cards show patient name, 'By: &lt;staff&gt;', patient number, created date and a quoted reason; footer 'Showing 10 of 12'; Next enabled. Escalated records show a red 'Escalated' badge.</t>
        </is>
      </c>
      <c r="J52" s="17" t="inlineStr">
        <is>
          <t>GET /api/exotel/sop/history</t>
        </is>
      </c>
      <c r="K52" s="14" t="inlineStr"/>
      <c r="L52" s="15" t="inlineStr">
        <is>
          <t>Not Executed</t>
        </is>
      </c>
      <c r="M52" s="15" t="inlineStr"/>
      <c r="N52" s="15" t="inlineStr"/>
      <c r="O52" s="15" t="inlineStr"/>
      <c r="P52" s="14" t="inlineStr"/>
    </row>
    <row r="53" ht="60" customHeight="1">
      <c r="A53" s="16" t="inlineStr">
        <is>
          <t>CL-052</t>
        </is>
      </c>
      <c r="B53" s="17" t="inlineStr">
        <is>
          <t>History - SOP Documentation</t>
        </is>
      </c>
      <c r="C53" s="17" t="inlineStr">
        <is>
          <t>SOP history pagination Next/Previous</t>
        </is>
      </c>
      <c r="D53" s="18" t="inlineStr">
        <is>
          <t>Medium</t>
        </is>
      </c>
      <c r="E53" s="17" t="inlineStr">
        <is>
          <t>Functional</t>
        </is>
      </c>
      <c r="F53" s="17" t="inlineStr">
        <is>
          <t>Admin on SOP Documentation sub-tab; 12 records.</t>
        </is>
      </c>
      <c r="G53" s="17" t="inlineStr">
        <is>
          <t>1. Click 'Next'.
2. Observe the page change and Network call.
3. Click 'Previous'.</t>
        </is>
      </c>
      <c r="H53" s="17" t="inlineStr">
        <is>
          <t>12 records</t>
        </is>
      </c>
      <c r="I53" s="17" t="inlineStr">
        <is>
          <t>Next sets sopPage=2 -&gt; GET /api/exotel/sop/history?page=2; Previous disabled on page 1; Next disabled when sopPage*per_page &gt;= total.</t>
        </is>
      </c>
      <c r="J53" s="17" t="inlineStr">
        <is>
          <t>GET /api/exotel/sop/history</t>
        </is>
      </c>
      <c r="K53" s="14" t="inlineStr"/>
      <c r="L53" s="15" t="inlineStr">
        <is>
          <t>Not Executed</t>
        </is>
      </c>
      <c r="M53" s="15" t="inlineStr"/>
      <c r="N53" s="15" t="inlineStr"/>
      <c r="O53" s="15" t="inlineStr"/>
      <c r="P53" s="14" t="inlineStr"/>
    </row>
    <row r="54" ht="45" customHeight="1">
      <c r="A54" s="16" t="inlineStr">
        <is>
          <t>CL-053</t>
        </is>
      </c>
      <c r="B54" s="17" t="inlineStr">
        <is>
          <t>History - SOP Documentation</t>
        </is>
      </c>
      <c r="C54" s="17" t="inlineStr">
        <is>
          <t>Empty SOP history shows 'No documentation found'</t>
        </is>
      </c>
      <c r="D54" s="22" t="inlineStr">
        <is>
          <t>Low</t>
        </is>
      </c>
      <c r="E54" s="17" t="inlineStr">
        <is>
          <t>Edge Case</t>
        </is>
      </c>
      <c r="F54" s="17" t="inlineStr">
        <is>
          <t>Admin; date range with no SOP records.</t>
        </is>
      </c>
      <c r="G54" s="17" t="inlineStr">
        <is>
          <t>1. Select a range with no SOP entries and open the SOP Documentation sub-tab.
2. Observe the body.</t>
        </is>
      </c>
      <c r="H54" s="17" t="inlineStr">
        <is>
          <t>Empty range</t>
        </is>
      </c>
      <c r="I54" s="17" t="inlineStr">
        <is>
          <t>Dashed empty card 'No documentation found - Stored SOP forms for the selected period will appear here.' is shown.</t>
        </is>
      </c>
      <c r="J54" s="17" t="inlineStr">
        <is>
          <t>GET /api/exotel/sop/history</t>
        </is>
      </c>
      <c r="K54" s="14" t="inlineStr"/>
      <c r="L54" s="15" t="inlineStr">
        <is>
          <t>Not Executed</t>
        </is>
      </c>
      <c r="M54" s="15" t="inlineStr"/>
      <c r="N54" s="15" t="inlineStr"/>
      <c r="O54" s="15" t="inlineStr"/>
      <c r="P54" s="14" t="inlineStr"/>
    </row>
    <row r="55" ht="60" customHeight="1">
      <c r="A55" s="16" t="inlineStr">
        <is>
          <t>CL-054</t>
        </is>
      </c>
      <c r="B55" s="17" t="inlineStr">
        <is>
          <t>History - SOP Documentation</t>
        </is>
      </c>
      <c r="C55" s="17" t="inlineStr">
        <is>
          <t>View Details opens the SOP modal pre-filled from the record</t>
        </is>
      </c>
      <c r="D55" s="18" t="inlineStr">
        <is>
          <t>Medium</t>
        </is>
      </c>
      <c r="E55" s="17" t="inlineStr">
        <is>
          <t>Functional</t>
        </is>
      </c>
      <c r="F55" s="17" t="inlineStr">
        <is>
          <t>Admin; at least one SOP record listed.</t>
        </is>
      </c>
      <c r="G55" s="17" t="inlineStr">
        <is>
          <t>1. Click 'View Details' on an SOP card.
2. Inspect the modal contents.</t>
        </is>
      </c>
      <c r="H55" s="17" t="inlineStr">
        <is>
          <t>Existing SOP record</t>
        </is>
      </c>
      <c r="I55" s="17" t="inlineStr">
        <is>
          <t>The SOP modal opens populated with the stored record's fields (patientName from sop.patient.full_name and the persisted reason/severity/etc.), allowing review.</t>
        </is>
      </c>
      <c r="J55" s="17" t="inlineStr">
        <is>
          <t>N/A</t>
        </is>
      </c>
      <c r="K55" s="14" t="inlineStr"/>
      <c r="L55" s="15" t="inlineStr">
        <is>
          <t>Not Executed</t>
        </is>
      </c>
      <c r="M55" s="15" t="inlineStr"/>
      <c r="N55" s="15" t="inlineStr"/>
      <c r="O55" s="15" t="inlineStr"/>
      <c r="P55" s="14" t="inlineStr"/>
    </row>
    <row r="56" ht="45" customHeight="1">
      <c r="A56" s="16" t="inlineStr">
        <is>
          <t>CL-055</t>
        </is>
      </c>
      <c r="B56" s="17" t="inlineStr">
        <is>
          <t>History - SOP Documentation</t>
        </is>
      </c>
      <c r="C56" s="17" t="inlineStr">
        <is>
          <t>SOP history fetch error shows destructive toast</t>
        </is>
      </c>
      <c r="D56" s="22" t="inlineStr">
        <is>
          <t>Low</t>
        </is>
      </c>
      <c r="E56" s="17" t="inlineStr">
        <is>
          <t>Negative</t>
        </is>
      </c>
      <c r="F56" s="17" t="inlineStr">
        <is>
          <t>Admin; force GET /api/exotel/sop/history to fail.</t>
        </is>
      </c>
      <c r="G56" s="17" t="inlineStr">
        <is>
          <t>1. Block the sop/history endpoint.
2. Open the SOP Documentation sub-tab.</t>
        </is>
      </c>
      <c r="H56" s="17" t="inlineStr">
        <is>
          <t>N/A</t>
        </is>
      </c>
      <c r="I56" s="17" t="inlineStr">
        <is>
          <t>Destructive toast 'History Sync Failed - Could not retrieve documentation history.' is shown; no crash.</t>
        </is>
      </c>
      <c r="J56" s="17" t="inlineStr">
        <is>
          <t>GET /api/exotel/sop/history</t>
        </is>
      </c>
      <c r="K56" s="14" t="inlineStr"/>
      <c r="L56" s="15" t="inlineStr">
        <is>
          <t>Not Executed</t>
        </is>
      </c>
      <c r="M56" s="15" t="inlineStr"/>
      <c r="N56" s="15" t="inlineStr"/>
      <c r="O56" s="15" t="inlineStr"/>
      <c r="P56" s="14" t="inlineStr"/>
    </row>
    <row r="57" ht="90" customHeight="1">
      <c r="A57" s="11" t="inlineStr">
        <is>
          <t>CL-056</t>
        </is>
      </c>
      <c r="B57" s="12" t="inlineStr">
        <is>
          <t>Escalated</t>
        </is>
      </c>
      <c r="C57" s="12" t="inlineStr">
        <is>
          <t>Escalated tab lists persisted escalations with severity colour bar</t>
        </is>
      </c>
      <c r="D57" s="13" t="inlineStr">
        <is>
          <t>High</t>
        </is>
      </c>
      <c r="E57" s="12" t="inlineStr">
        <is>
          <t>Functional</t>
        </is>
      </c>
      <c r="F57" s="12" t="inlineStr">
        <is>
          <t>Admin; &gt;=1 escalated SOP record seeded.</t>
        </is>
      </c>
      <c r="G57" s="12" t="inlineStr">
        <is>
          <t>1. Click the 'Escalated' tab.
2. Inspect the escalation card(s).</t>
        </is>
      </c>
      <c r="H57" s="12" t="inlineStr">
        <is>
          <t>1 high-severity escalation</t>
        </is>
      </c>
      <c r="I57" s="12" t="inlineStr">
        <is>
          <t>GET /api/exotel/sop is called; each escalation renders patient name, severity badge, staff name/number, patient caller number, relative time, quoted reason and symptoms; the left colour bar is red(high)/amber(medium)/emerald(else).</t>
        </is>
      </c>
      <c r="J57" s="12" t="inlineStr">
        <is>
          <t>GET /api/exotel/sop</t>
        </is>
      </c>
      <c r="K57" s="14" t="inlineStr"/>
      <c r="L57" s="15" t="inlineStr">
        <is>
          <t>Not Executed</t>
        </is>
      </c>
      <c r="M57" s="15" t="inlineStr"/>
      <c r="N57" s="15" t="inlineStr"/>
      <c r="O57" s="15" t="inlineStr"/>
      <c r="P57" s="14" t="inlineStr"/>
    </row>
    <row r="58" ht="45" customHeight="1">
      <c r="A58" s="11" t="inlineStr">
        <is>
          <t>CL-057</t>
        </is>
      </c>
      <c r="B58" s="12" t="inlineStr">
        <is>
          <t>Escalated</t>
        </is>
      </c>
      <c r="C58" s="12" t="inlineStr">
        <is>
          <t>Empty escalations show 'No pending escalations'</t>
        </is>
      </c>
      <c r="D58" s="19" t="inlineStr">
        <is>
          <t>Medium</t>
        </is>
      </c>
      <c r="E58" s="12" t="inlineStr">
        <is>
          <t>Edge Case</t>
        </is>
      </c>
      <c r="F58" s="12" t="inlineStr">
        <is>
          <t>Admin; no escalated records.</t>
        </is>
      </c>
      <c r="G58" s="12" t="inlineStr">
        <is>
          <t>1. Open the Escalated tab with no escalations.
2. Observe the body.</t>
        </is>
      </c>
      <c r="H58" s="12" t="inlineStr">
        <is>
          <t>N/A</t>
        </is>
      </c>
      <c r="I58" s="12" t="inlineStr">
        <is>
          <t>Dashed empty card 'No pending escalations - Calls flagged for Lead review will appear here.' is shown.</t>
        </is>
      </c>
      <c r="J58" s="12" t="inlineStr">
        <is>
          <t>GET /api/exotel/sop</t>
        </is>
      </c>
      <c r="K58" s="14" t="inlineStr"/>
      <c r="L58" s="15" t="inlineStr">
        <is>
          <t>Not Executed</t>
        </is>
      </c>
      <c r="M58" s="15" t="inlineStr"/>
      <c r="N58" s="15" t="inlineStr"/>
      <c r="O58" s="15" t="inlineStr"/>
      <c r="P58" s="14" t="inlineStr"/>
    </row>
    <row r="59" ht="120" customHeight="1">
      <c r="A59" s="11" t="inlineStr">
        <is>
          <t>CL-058</t>
        </is>
      </c>
      <c r="B59" s="12" t="inlineStr">
        <is>
          <t>Escalated</t>
        </is>
      </c>
      <c r="C59" s="12" t="inlineStr">
        <is>
          <t>HomeCare button removes the escalation from the list (client stub)</t>
        </is>
      </c>
      <c r="D59" s="19" t="inlineStr">
        <is>
          <t>Medium</t>
        </is>
      </c>
      <c r="E59" s="12" t="inlineStr">
        <is>
          <t>Functional</t>
        </is>
      </c>
      <c r="F59" s="12" t="inlineStr">
        <is>
          <t>Admin; &gt;=1 escalation listed.</t>
        </is>
      </c>
      <c r="G59" s="12" t="inlineStr">
        <is>
          <t>1. Click the 'HomeCare' button on an escalation card.
2. Observe the toast and the list, and the Network tab.</t>
        </is>
      </c>
      <c r="H59" s="12" t="inlineStr">
        <is>
          <t>N/A</t>
        </is>
      </c>
      <c r="I59" s="12" t="inlineStr">
        <is>
          <t>Success toast 'Escalated to HomeCare - A new visit request has been added to the HomeCare queue.'; the card is removed from the local list. NOTE (defect/limitation): handleEscalateToHomeCare is a client-only stub (TODO) — NO backend API call is made, so the change is not persisted and reappears on refresh. Reference DEF-CL-05.</t>
        </is>
      </c>
      <c r="J59" s="12" t="inlineStr">
        <is>
          <t>N/A (no API call — client stub)</t>
        </is>
      </c>
      <c r="K59" s="14" t="inlineStr"/>
      <c r="L59" s="15" t="inlineStr">
        <is>
          <t>Not Executed</t>
        </is>
      </c>
      <c r="M59" s="15" t="inlineStr"/>
      <c r="N59" s="15" t="inlineStr"/>
      <c r="O59" s="15" t="inlineStr"/>
      <c r="P59" s="14" t="inlineStr"/>
    </row>
    <row r="60" ht="75" customHeight="1">
      <c r="A60" s="11" t="inlineStr">
        <is>
          <t>CL-059</t>
        </is>
      </c>
      <c r="B60" s="12" t="inlineStr">
        <is>
          <t>Escalated</t>
        </is>
      </c>
      <c r="C60" s="12" t="inlineStr">
        <is>
          <t>Follow Up popover schedules the escalation's patient</t>
        </is>
      </c>
      <c r="D60" s="19" t="inlineStr">
        <is>
          <t>Medium</t>
        </is>
      </c>
      <c r="E60" s="12" t="inlineStr">
        <is>
          <t>Functional</t>
        </is>
      </c>
      <c r="F60" s="12" t="inlineStr">
        <is>
          <t>Admin; &gt;=1 escalation with a patient_id.</t>
        </is>
      </c>
      <c r="G60" s="12" t="inlineStr">
        <is>
          <t>1. Click 'Follow Up' on an escalation card.
2. Pick a date in the calendar and click 'Confirm Schedule'.
3. Inspect the Network call and toast.</t>
        </is>
      </c>
      <c r="H60" s="12" t="inlineStr">
        <is>
          <t>Date: 2026-06-12</t>
        </is>
      </c>
      <c r="I60" s="12" t="inlineStr">
        <is>
          <t>POST /api/exotel/scheduler fires with {patient_id, scheduled_date (ISO), notes}; success toast 'Added to Schedule'; the schedule list refreshes (visible on the Scheduler tab).</t>
        </is>
      </c>
      <c r="J60" s="12" t="inlineStr">
        <is>
          <t>POST /api/exotel/scheduler</t>
        </is>
      </c>
      <c r="K60" s="14" t="inlineStr"/>
      <c r="L60" s="15" t="inlineStr">
        <is>
          <t>Not Executed</t>
        </is>
      </c>
      <c r="M60" s="15" t="inlineStr"/>
      <c r="N60" s="15" t="inlineStr"/>
      <c r="O60" s="15" t="inlineStr"/>
      <c r="P60" s="14" t="inlineStr"/>
    </row>
    <row r="61" ht="75" customHeight="1">
      <c r="A61" s="11" t="inlineStr">
        <is>
          <t>CL-060</t>
        </is>
      </c>
      <c r="B61" s="12" t="inlineStr">
        <is>
          <t>Escalated</t>
        </is>
      </c>
      <c r="C61" s="12" t="inlineStr">
        <is>
          <t>Dismiss for now removes an escalation from the view only</t>
        </is>
      </c>
      <c r="D61" s="20" t="inlineStr">
        <is>
          <t>Low</t>
        </is>
      </c>
      <c r="E61" s="12" t="inlineStr">
        <is>
          <t>Edge Case</t>
        </is>
      </c>
      <c r="F61" s="12" t="inlineStr">
        <is>
          <t>Admin; &gt;=1 escalation listed.</t>
        </is>
      </c>
      <c r="G61" s="12" t="inlineStr">
        <is>
          <t>1. Click 'Dismiss for now' on an escalation.
2. Refresh the Escalated tab.</t>
        </is>
      </c>
      <c r="H61" s="12" t="inlineStr">
        <is>
          <t>N/A</t>
        </is>
      </c>
      <c r="I61" s="12" t="inlineStr">
        <is>
          <t>The card disappears from the current view with no API call; after a refresh (re-fetch of GET /api/exotel/sop) the escalation reappears (dismiss is client-only / non-persistent).</t>
        </is>
      </c>
      <c r="J61" s="12" t="inlineStr">
        <is>
          <t>N/A</t>
        </is>
      </c>
      <c r="K61" s="14" t="inlineStr"/>
      <c r="L61" s="15" t="inlineStr">
        <is>
          <t>Not Executed</t>
        </is>
      </c>
      <c r="M61" s="15" t="inlineStr"/>
      <c r="N61" s="15" t="inlineStr"/>
      <c r="O61" s="15" t="inlineStr"/>
      <c r="P61" s="14" t="inlineStr"/>
    </row>
    <row r="62" ht="75" customHeight="1">
      <c r="A62" s="16" t="inlineStr">
        <is>
          <t>CL-061</t>
        </is>
      </c>
      <c r="B62" s="17" t="inlineStr">
        <is>
          <t>Scheduler</t>
        </is>
      </c>
      <c r="C62" s="17" t="inlineStr">
        <is>
          <t>Scheduler tab loads the persistent outreach schedule</t>
        </is>
      </c>
      <c r="D62" s="21" t="inlineStr">
        <is>
          <t>High</t>
        </is>
      </c>
      <c r="E62" s="17" t="inlineStr">
        <is>
          <t>Functional</t>
        </is>
      </c>
      <c r="F62" s="17" t="inlineStr">
        <is>
          <t>Admin; &gt;=1 schedule record exists.</t>
        </is>
      </c>
      <c r="G62" s="17" t="inlineStr">
        <is>
          <t>1. Click the 'Scheduler' tab.
2. Observe the 'Your Outreach Schedule' list and count.</t>
        </is>
      </c>
      <c r="H62" s="17" t="inlineStr">
        <is>
          <t>1 schedule record</t>
        </is>
      </c>
      <c r="I62" s="17" t="inlineStr">
        <is>
          <t>GET /api/exotel/scheduler is called; each record shows patient initial avatar, name, phone and 'Scheduled: &lt;relative date&gt;'; the count line reads 'N patients scheduled for follow-up.'</t>
        </is>
      </c>
      <c r="J62" s="17" t="inlineStr">
        <is>
          <t>GET /api/exotel/scheduler</t>
        </is>
      </c>
      <c r="K62" s="14" t="inlineStr"/>
      <c r="L62" s="15" t="inlineStr">
        <is>
          <t>Not Executed</t>
        </is>
      </c>
      <c r="M62" s="15" t="inlineStr"/>
      <c r="N62" s="15" t="inlineStr"/>
      <c r="O62" s="15" t="inlineStr"/>
      <c r="P62" s="14" t="inlineStr"/>
    </row>
    <row r="63" ht="60" customHeight="1">
      <c r="A63" s="16" t="inlineStr">
        <is>
          <t>CL-062</t>
        </is>
      </c>
      <c r="B63" s="17" t="inlineStr">
        <is>
          <t>Scheduler</t>
        </is>
      </c>
      <c r="C63" s="17" t="inlineStr">
        <is>
          <t>Empty schedule shows 'No calls scheduled'</t>
        </is>
      </c>
      <c r="D63" s="18" t="inlineStr">
        <is>
          <t>Medium</t>
        </is>
      </c>
      <c r="E63" s="17" t="inlineStr">
        <is>
          <t>Edge Case</t>
        </is>
      </c>
      <c r="F63" s="17" t="inlineStr">
        <is>
          <t>Admin; no schedule records.</t>
        </is>
      </c>
      <c r="G63" s="17" t="inlineStr">
        <is>
          <t>1. Open the Scheduler tab with no records.
2. Observe the body.</t>
        </is>
      </c>
      <c r="H63" s="17" t="inlineStr">
        <is>
          <t>N/A</t>
        </is>
      </c>
      <c r="I63" s="17" t="inlineStr">
        <is>
          <t>Dashed empty card 'No calls scheduled - Add patients from the Dial tab to build your outreach plan.' is shown along with the Generate/Add Manually buttons.</t>
        </is>
      </c>
      <c r="J63" s="17" t="inlineStr">
        <is>
          <t>GET /api/exotel/scheduler</t>
        </is>
      </c>
      <c r="K63" s="14" t="inlineStr"/>
      <c r="L63" s="15" t="inlineStr">
        <is>
          <t>Not Executed</t>
        </is>
      </c>
      <c r="M63" s="15" t="inlineStr"/>
      <c r="N63" s="15" t="inlineStr"/>
      <c r="O63" s="15" t="inlineStr"/>
      <c r="P63" s="14" t="inlineStr"/>
    </row>
    <row r="64" ht="90" customHeight="1">
      <c r="A64" s="16" t="inlineStr">
        <is>
          <t>CL-063</t>
        </is>
      </c>
      <c r="B64" s="17" t="inlineStr">
        <is>
          <t>Scheduler</t>
        </is>
      </c>
      <c r="C64" s="17" t="inlineStr">
        <is>
          <t>Add patient to schedule from the Dial tab persists</t>
        </is>
      </c>
      <c r="D64" s="21" t="inlineStr">
        <is>
          <t>High</t>
        </is>
      </c>
      <c r="E64" s="17" t="inlineStr">
        <is>
          <t>Data Integrity</t>
        </is>
      </c>
      <c r="F64" s="17" t="inlineStr">
        <is>
          <t>Admin on Dial tab.</t>
        </is>
      </c>
      <c r="G64" s="17" t="inlineStr">
        <is>
          <t>1. Open a patient's schedule calendar (amber button) and pick a future date, confirm.
2. Switch to the Scheduler tab.
3. Inspect the Network call and the list.</t>
        </is>
      </c>
      <c r="H64" s="17" t="inlineStr">
        <is>
          <t>Patient Ramesh Kumar; Date 2026-06-15</t>
        </is>
      </c>
      <c r="I64" s="17" t="inlineStr">
        <is>
          <t>POST /api/exotel/scheduler fires with {patient_id, scheduled_date (ISO), notes:'Scheduled from Outreach Management'} returning 201; success toast 'Added to Schedule'; the new record appears in the Scheduler list after fetchSchedule.</t>
        </is>
      </c>
      <c r="J64" s="17" t="inlineStr">
        <is>
          <t>POST /api/exotel/scheduler</t>
        </is>
      </c>
      <c r="K64" s="14" t="inlineStr"/>
      <c r="L64" s="15" t="inlineStr">
        <is>
          <t>Not Executed</t>
        </is>
      </c>
      <c r="M64" s="15" t="inlineStr"/>
      <c r="N64" s="15" t="inlineStr"/>
      <c r="O64" s="15" t="inlineStr"/>
      <c r="P64" s="14" t="inlineStr"/>
    </row>
    <row r="65" ht="75" customHeight="1">
      <c r="A65" s="16" t="inlineStr">
        <is>
          <t>CL-064</t>
        </is>
      </c>
      <c r="B65" s="17" t="inlineStr">
        <is>
          <t>Scheduler</t>
        </is>
      </c>
      <c r="C65" s="17" t="inlineStr">
        <is>
          <t>Remove a scheduled record deletes it from the list</t>
        </is>
      </c>
      <c r="D65" s="21" t="inlineStr">
        <is>
          <t>High</t>
        </is>
      </c>
      <c r="E65" s="17" t="inlineStr">
        <is>
          <t>Data Integrity</t>
        </is>
      </c>
      <c r="F65" s="17" t="inlineStr">
        <is>
          <t>Admin on Scheduler tab; &gt;=1 record.</t>
        </is>
      </c>
      <c r="G65" s="17" t="inlineStr">
        <is>
          <t>1. Click the X 'Remove from Schedule' on a record.
2. Observe the toast, the list, and the Network call.</t>
        </is>
      </c>
      <c r="H65" s="17" t="inlineStr">
        <is>
          <t>schedule_id (uuid) of the record</t>
        </is>
      </c>
      <c r="I65" s="17" t="inlineStr">
        <is>
          <t>DELETE /api/exotel/scheduler/&lt;uuid&gt; returns 200; success toast 'Removed - Record removed from schedule.'; the record is removed from the list and stays removed after refresh.</t>
        </is>
      </c>
      <c r="J65" s="17" t="inlineStr">
        <is>
          <t>DELETE /api/exotel/scheduler/{schedule_id}</t>
        </is>
      </c>
      <c r="K65" s="14" t="inlineStr"/>
      <c r="L65" s="15" t="inlineStr">
        <is>
          <t>Not Executed</t>
        </is>
      </c>
      <c r="M65" s="15" t="inlineStr"/>
      <c r="N65" s="15" t="inlineStr"/>
      <c r="O65" s="15" t="inlineStr"/>
      <c r="P65" s="14" t="inlineStr"/>
    </row>
    <row r="66" ht="45" customHeight="1">
      <c r="A66" s="16" t="inlineStr">
        <is>
          <t>CL-065</t>
        </is>
      </c>
      <c r="B66" s="17" t="inlineStr">
        <is>
          <t>Scheduler</t>
        </is>
      </c>
      <c r="C66" s="17" t="inlineStr">
        <is>
          <t>Remove schedule failure shows destructive toast</t>
        </is>
      </c>
      <c r="D66" s="18" t="inlineStr">
        <is>
          <t>Medium</t>
        </is>
      </c>
      <c r="E66" s="17" t="inlineStr">
        <is>
          <t>Negative</t>
        </is>
      </c>
      <c r="F66" s="17" t="inlineStr">
        <is>
          <t>Admin; force DELETE /api/exotel/scheduler to fail.</t>
        </is>
      </c>
      <c r="G66" s="17" t="inlineStr">
        <is>
          <t>1. Block / fail the delete endpoint.
2. Click X on a schedule record.</t>
        </is>
      </c>
      <c r="H66" s="17" t="inlineStr">
        <is>
          <t>N/A</t>
        </is>
      </c>
      <c r="I66" s="17" t="inlineStr">
        <is>
          <t>Destructive toast 'Action Failed - Could not remove from schedule.'; the record remains in the list.</t>
        </is>
      </c>
      <c r="J66" s="17" t="inlineStr">
        <is>
          <t>DELETE /api/exotel/scheduler/{schedule_id}</t>
        </is>
      </c>
      <c r="K66" s="14" t="inlineStr"/>
      <c r="L66" s="15" t="inlineStr">
        <is>
          <t>Not Executed</t>
        </is>
      </c>
      <c r="M66" s="15" t="inlineStr"/>
      <c r="N66" s="15" t="inlineStr"/>
      <c r="O66" s="15" t="inlineStr"/>
      <c r="P66" s="14" t="inlineStr"/>
    </row>
    <row r="67" ht="75" customHeight="1">
      <c r="A67" s="16" t="inlineStr">
        <is>
          <t>CL-066</t>
        </is>
      </c>
      <c r="B67" s="17" t="inlineStr">
        <is>
          <t>Scheduler</t>
        </is>
      </c>
      <c r="C67" s="17" t="inlineStr">
        <is>
          <t>Generate Weekly Plan auto-generates the schedule</t>
        </is>
      </c>
      <c r="D67" s="18" t="inlineStr">
        <is>
          <t>Medium</t>
        </is>
      </c>
      <c r="E67" s="17" t="inlineStr">
        <is>
          <t>Functional</t>
        </is>
      </c>
      <c r="F67" s="17" t="inlineStr">
        <is>
          <t>Admin on Scheduler tab.</t>
        </is>
      </c>
      <c r="G67" s="17" t="inlineStr">
        <is>
          <t>1. Click 'Generate Weekly Plan'.
2. Observe the spinner, toast and refreshed list.</t>
        </is>
      </c>
      <c r="H67" s="17" t="inlineStr">
        <is>
          <t>N/A</t>
        </is>
      </c>
      <c r="I67" s="17" t="inlineStr">
        <is>
          <t>POST /api/exotel/scheduler/auto-generate returns 201; success toast 'Plan Generated - Automatic outreach plan for next week has been created.'; fetchSchedule re-runs and the list updates.</t>
        </is>
      </c>
      <c r="J67" s="17" t="inlineStr">
        <is>
          <t>POST /api/exotel/scheduler/auto-generate</t>
        </is>
      </c>
      <c r="K67" s="14" t="inlineStr"/>
      <c r="L67" s="15" t="inlineStr">
        <is>
          <t>Not Executed</t>
        </is>
      </c>
      <c r="M67" s="15" t="inlineStr"/>
      <c r="N67" s="15" t="inlineStr"/>
      <c r="O67" s="15" t="inlineStr"/>
      <c r="P67" s="14" t="inlineStr"/>
    </row>
    <row r="68" ht="45" customHeight="1">
      <c r="A68" s="16" t="inlineStr">
        <is>
          <t>CL-067</t>
        </is>
      </c>
      <c r="B68" s="17" t="inlineStr">
        <is>
          <t>Scheduler</t>
        </is>
      </c>
      <c r="C68" s="17" t="inlineStr">
        <is>
          <t>Auto-generate failure shows destructive toast</t>
        </is>
      </c>
      <c r="D68" s="22" t="inlineStr">
        <is>
          <t>Low</t>
        </is>
      </c>
      <c r="E68" s="17" t="inlineStr">
        <is>
          <t>Negative</t>
        </is>
      </c>
      <c r="F68" s="17" t="inlineStr">
        <is>
          <t>Admin; force auto-generate to fail.</t>
        </is>
      </c>
      <c r="G68" s="17" t="inlineStr">
        <is>
          <t>1. Block / fail the auto-generate endpoint.
2. Click 'Generate Weekly Plan'.</t>
        </is>
      </c>
      <c r="H68" s="17" t="inlineStr">
        <is>
          <t>N/A</t>
        </is>
      </c>
      <c r="I68" s="17" t="inlineStr">
        <is>
          <t>Destructive toast 'Generation Failed - Could not automatically generate the schedule.'; spinner stops.</t>
        </is>
      </c>
      <c r="J68" s="17" t="inlineStr">
        <is>
          <t>POST /api/exotel/scheduler/auto-generate</t>
        </is>
      </c>
      <c r="K68" s="14" t="inlineStr"/>
      <c r="L68" s="15" t="inlineStr">
        <is>
          <t>Not Executed</t>
        </is>
      </c>
      <c r="M68" s="15" t="inlineStr"/>
      <c r="N68" s="15" t="inlineStr"/>
      <c r="O68" s="15" t="inlineStr"/>
      <c r="P68" s="14" t="inlineStr"/>
    </row>
    <row r="69" ht="60" customHeight="1">
      <c r="A69" s="16" t="inlineStr">
        <is>
          <t>CL-068</t>
        </is>
      </c>
      <c r="B69" s="17" t="inlineStr">
        <is>
          <t>Scheduler</t>
        </is>
      </c>
      <c r="C69" s="17" t="inlineStr">
        <is>
          <t>'Add Manually' switches to the Dial tab; manual SOP from a schedule row opens the modal</t>
        </is>
      </c>
      <c r="D69" s="22" t="inlineStr">
        <is>
          <t>Low</t>
        </is>
      </c>
      <c r="E69" s="17" t="inlineStr">
        <is>
          <t>Functional</t>
        </is>
      </c>
      <c r="F69" s="17" t="inlineStr">
        <is>
          <t>Admin on Scheduler tab; &gt;=1 record.</t>
        </is>
      </c>
      <c r="G69" s="17" t="inlineStr">
        <is>
          <t>1. Click 'Add Manually' and confirm the tab switch.
2. Return to Scheduler and click the clipboard (Manual Documentation) icon on a record.</t>
        </is>
      </c>
      <c r="H69" s="17" t="inlineStr">
        <is>
          <t>N/A</t>
        </is>
      </c>
      <c r="I69" s="17" t="inlineStr">
        <is>
          <t>'Add Manually' sets the active tab to Dial. The clipboard icon on a schedule record opens the SOP modal pre-filled with that record's patient.</t>
        </is>
      </c>
      <c r="J69" s="17" t="inlineStr">
        <is>
          <t>N/A</t>
        </is>
      </c>
      <c r="K69" s="14" t="inlineStr"/>
      <c r="L69" s="15" t="inlineStr">
        <is>
          <t>Not Executed</t>
        </is>
      </c>
      <c r="M69" s="15" t="inlineStr"/>
      <c r="N69" s="15" t="inlineStr"/>
      <c r="O69" s="15" t="inlineStr"/>
      <c r="P69" s="14" t="inlineStr"/>
    </row>
    <row r="70" ht="45" customHeight="1">
      <c r="A70" s="16" t="inlineStr">
        <is>
          <t>CL-069</t>
        </is>
      </c>
      <c r="B70" s="17" t="inlineStr">
        <is>
          <t>Scheduler</t>
        </is>
      </c>
      <c r="C70" s="17" t="inlineStr">
        <is>
          <t>Backend rejects schedule add missing patient_id or scheduled_date (400)</t>
        </is>
      </c>
      <c r="D70" s="18" t="inlineStr">
        <is>
          <t>Medium</t>
        </is>
      </c>
      <c r="E70" s="17" t="inlineStr">
        <is>
          <t>API</t>
        </is>
      </c>
      <c r="F70" s="17" t="inlineStr">
        <is>
          <t>Tooling to POST directly with a valid JWT.</t>
        </is>
      </c>
      <c r="G70" s="17" t="inlineStr">
        <is>
          <t>1. POST /api/exotel/scheduler with body {notes:'x'} (no patient_id/scheduled_date).
2. Inspect the response.</t>
        </is>
      </c>
      <c r="H70" s="17" t="inlineStr">
        <is>
          <t>Body: {"notes":"x"}</t>
        </is>
      </c>
      <c r="I70" s="17" t="inlineStr">
        <is>
          <t>Backend returns 400 {"error":"patient_id and scheduled_date are required"}.</t>
        </is>
      </c>
      <c r="J70" s="17" t="inlineStr">
        <is>
          <t>POST /api/exotel/scheduler</t>
        </is>
      </c>
      <c r="K70" s="14" t="inlineStr"/>
      <c r="L70" s="15" t="inlineStr">
        <is>
          <t>Not Executed</t>
        </is>
      </c>
      <c r="M70" s="15" t="inlineStr"/>
      <c r="N70" s="15" t="inlineStr"/>
      <c r="O70" s="15" t="inlineStr"/>
      <c r="P70" s="14" t="inlineStr"/>
    </row>
    <row r="71" ht="75" customHeight="1">
      <c r="A71" s="16" t="inlineStr">
        <is>
          <t>CL-070</t>
        </is>
      </c>
      <c r="B71" s="17" t="inlineStr">
        <is>
          <t>Scheduler</t>
        </is>
      </c>
      <c r="C71" s="17" t="inlineStr">
        <is>
          <t>Delete with a non-existent / non-UUID schedule id</t>
        </is>
      </c>
      <c r="D71" s="22" t="inlineStr">
        <is>
          <t>Low</t>
        </is>
      </c>
      <c r="E71" s="17" t="inlineStr">
        <is>
          <t>Negative</t>
        </is>
      </c>
      <c r="F71" s="17" t="inlineStr">
        <is>
          <t>Tooling to DELETE directly with a valid JWT.</t>
        </is>
      </c>
      <c r="G71" s="17" t="inlineStr">
        <is>
          <t>1. DELETE /api/exotel/scheduler/00000000-0000-0000-0000-000000000000 (valid uuid, no record).
2. Then DELETE /api/exotel/scheduler/not-a-uuid.
3. Inspect both responses.</t>
        </is>
      </c>
      <c r="H71" s="17" t="inlineStr">
        <is>
          <t>Valid-but-absent uuid; then 'not-a-uuid'</t>
        </is>
      </c>
      <c r="I71" s="17" t="inlineStr">
        <is>
          <t>Absent uuid -&gt; 404 {"error":"Schedule not found"} (or 200 no-op depending on service). Non-uuid path does not match the &lt;uuid:...&gt; route converter and returns a 404 routing error.</t>
        </is>
      </c>
      <c r="J71" s="17" t="inlineStr">
        <is>
          <t>DELETE /api/exotel/scheduler/{schedule_id}</t>
        </is>
      </c>
      <c r="K71" s="14" t="inlineStr"/>
      <c r="L71" s="15" t="inlineStr">
        <is>
          <t>Not Executed</t>
        </is>
      </c>
      <c r="M71" s="15" t="inlineStr"/>
      <c r="N71" s="15" t="inlineStr"/>
      <c r="O71" s="15" t="inlineStr"/>
      <c r="P71" s="14" t="inlineStr"/>
    </row>
    <row r="72" ht="105" customHeight="1">
      <c r="A72" s="11" t="inlineStr">
        <is>
          <t>CL-071</t>
        </is>
      </c>
      <c r="B72" s="12" t="inlineStr">
        <is>
          <t>Email Modal</t>
        </is>
      </c>
      <c r="C72" s="12" t="inlineStr">
        <is>
          <t>EmailModal composes a pre-filled follow-up email (component-level)</t>
        </is>
      </c>
      <c r="D72" s="19" t="inlineStr">
        <is>
          <t>Medium</t>
        </is>
      </c>
      <c r="E72" s="12" t="inlineStr">
        <is>
          <t>UI/UX</t>
        </is>
      </c>
      <c r="F72" s="12" t="inlineStr">
        <is>
          <t>EmailModal mounted with a patient (NOTE: not currently wired into CallLogsPage — see DEF-CL-02; test via a mount harness/storybook or after wiring).</t>
        </is>
      </c>
      <c r="G72" s="12" t="inlineStr">
        <is>
          <t>1. Open the Email modal for a patient.
2. Inspect the Subject and Message Body defaults.</t>
        </is>
      </c>
      <c r="H72" s="12" t="inlineStr">
        <is>
          <t>Patient Lakshmi Iyer</t>
        </is>
      </c>
      <c r="I72" s="12" t="inlineStr">
        <is>
          <t>Title 'Send Email'; Subject defaults to 'Follow-up: Outreach from Saranam'; Body is pre-filled greeting the patient by full_name; both fields editable.</t>
        </is>
      </c>
      <c r="J72" s="12" t="inlineStr">
        <is>
          <t>N/A</t>
        </is>
      </c>
      <c r="K72" s="14" t="inlineStr"/>
      <c r="L72" s="15" t="inlineStr">
        <is>
          <t>Not Executed</t>
        </is>
      </c>
      <c r="M72" s="15" t="inlineStr"/>
      <c r="N72" s="15" t="inlineStr"/>
      <c r="O72" s="15" t="inlineStr"/>
      <c r="P72" s="14" t="inlineStr"/>
    </row>
    <row r="73" ht="90" customHeight="1">
      <c r="A73" s="11" t="inlineStr">
        <is>
          <t>CL-072</t>
        </is>
      </c>
      <c r="B73" s="12" t="inlineStr">
        <is>
          <t>Email Modal</t>
        </is>
      </c>
      <c r="C73" s="12" t="inlineStr">
        <is>
          <t>Send Email is disabled when subject or body is empty</t>
        </is>
      </c>
      <c r="D73" s="19" t="inlineStr">
        <is>
          <t>Medium</t>
        </is>
      </c>
      <c r="E73" s="12" t="inlineStr">
        <is>
          <t>Validation</t>
        </is>
      </c>
      <c r="F73" s="12" t="inlineStr">
        <is>
          <t>EmailModal open (per CL-071 caveat).</t>
        </is>
      </c>
      <c r="G73" s="12" t="inlineStr">
        <is>
          <t>1. Clear the Subject field entirely and observe the Send button.
2. Restore Subject, clear the Body, observe again.
3. Enter whitespace-only into Subject and observe.</t>
        </is>
      </c>
      <c r="H73" s="12" t="inlineStr">
        <is>
          <t>Empty / whitespace-only subject and body</t>
        </is>
      </c>
      <c r="I73" s="12" t="inlineStr">
        <is>
          <t>'Send Email' is disabled while !subject.trim() or !body.trim() (whitespace-only also disables it). Re-enabled once both contain non-whitespace text.</t>
        </is>
      </c>
      <c r="J73" s="12" t="inlineStr">
        <is>
          <t>N/A</t>
        </is>
      </c>
      <c r="K73" s="14" t="inlineStr"/>
      <c r="L73" s="15" t="inlineStr">
        <is>
          <t>Not Executed</t>
        </is>
      </c>
      <c r="M73" s="15" t="inlineStr"/>
      <c r="N73" s="15" t="inlineStr"/>
      <c r="O73" s="15" t="inlineStr"/>
      <c r="P73" s="14" t="inlineStr"/>
    </row>
    <row r="74" ht="75" customHeight="1">
      <c r="A74" s="11" t="inlineStr">
        <is>
          <t>CL-073</t>
        </is>
      </c>
      <c r="B74" s="12" t="inlineStr">
        <is>
          <t>Email Modal</t>
        </is>
      </c>
      <c r="C74" s="12" t="inlineStr">
        <is>
          <t>Send Email posts to backend and closes on success</t>
        </is>
      </c>
      <c r="D74" s="19" t="inlineStr">
        <is>
          <t>Medium</t>
        </is>
      </c>
      <c r="E74" s="12" t="inlineStr">
        <is>
          <t>Functional</t>
        </is>
      </c>
      <c r="F74" s="12" t="inlineStr">
        <is>
          <t>EmailModal open (per CL-071); patient has an email on file; onSend wired to callLogsApi.sendEmail.</t>
        </is>
      </c>
      <c r="G74" s="12" t="inlineStr">
        <is>
          <t>1. Edit subject/body and click 'Send Email'.
2. Inspect the Network call and modal behaviour.</t>
        </is>
      </c>
      <c r="H74" s="12" t="inlineStr">
        <is>
          <t>Subject: Follow-up; Body: short message</t>
        </is>
      </c>
      <c r="I74" s="12" t="inlineStr">
        <is>
          <t>POST /api/exotel/send-email fires with {patient_id, subject, body}; on 200 {message:'Email sent successfully'} the modal closes (onClose). During send the button shows 'Sending...' and Cancel/Send are disabled.</t>
        </is>
      </c>
      <c r="J74" s="12" t="inlineStr">
        <is>
          <t>POST /api/exotel/send-email</t>
        </is>
      </c>
      <c r="K74" s="14" t="inlineStr"/>
      <c r="L74" s="15" t="inlineStr">
        <is>
          <t>Not Executed</t>
        </is>
      </c>
      <c r="M74" s="15" t="inlineStr"/>
      <c r="N74" s="15" t="inlineStr"/>
      <c r="O74" s="15" t="inlineStr"/>
      <c r="P74" s="14" t="inlineStr"/>
    </row>
    <row r="75" ht="90" customHeight="1">
      <c r="A75" s="11" t="inlineStr">
        <is>
          <t>CL-074</t>
        </is>
      </c>
      <c r="B75" s="12" t="inlineStr">
        <is>
          <t>Email Modal</t>
        </is>
      </c>
      <c r="C75" s="12" t="inlineStr">
        <is>
          <t>Send Email to a patient with no email on file returns 400</t>
        </is>
      </c>
      <c r="D75" s="19" t="inlineStr">
        <is>
          <t>Medium</t>
        </is>
      </c>
      <c r="E75" s="12" t="inlineStr">
        <is>
          <t>Negative</t>
        </is>
      </c>
      <c r="F75" s="12" t="inlineStr">
        <is>
          <t>EmailModal open for a patient with NO email; onSend wired.</t>
        </is>
      </c>
      <c r="G75" s="12" t="inlineStr">
        <is>
          <t>1. Click 'Send Email'.
2. Inspect the Network response and console.</t>
        </is>
      </c>
      <c r="H75" s="12" t="inlineStr">
        <is>
          <t>Patient with no email on file</t>
        </is>
      </c>
      <c r="I75" s="12" t="inlineStr">
        <is>
          <t>POST /api/exotel/send-email returns 400 {"error":"Patient has no email address on file"} (or 404 if patient not found). The component logs 'Failed to send email' and the modal stays open (does not close on error).</t>
        </is>
      </c>
      <c r="J75" s="12" t="inlineStr">
        <is>
          <t>POST /api/exotel/send-email</t>
        </is>
      </c>
      <c r="K75" s="14" t="inlineStr"/>
      <c r="L75" s="15" t="inlineStr">
        <is>
          <t>Not Executed</t>
        </is>
      </c>
      <c r="M75" s="15" t="inlineStr"/>
      <c r="N75" s="15" t="inlineStr"/>
      <c r="O75" s="15" t="inlineStr"/>
      <c r="P75" s="14" t="inlineStr"/>
    </row>
    <row r="76" ht="60" customHeight="1">
      <c r="A76" s="11" t="inlineStr">
        <is>
          <t>CL-075</t>
        </is>
      </c>
      <c r="B76" s="12" t="inlineStr">
        <is>
          <t>Email Modal</t>
        </is>
      </c>
      <c r="C76" s="12" t="inlineStr">
        <is>
          <t>Send Email when SMTP is not configured returns 500</t>
        </is>
      </c>
      <c r="D76" s="20" t="inlineStr">
        <is>
          <t>Low</t>
        </is>
      </c>
      <c r="E76" s="12" t="inlineStr">
        <is>
          <t>Negative</t>
        </is>
      </c>
      <c r="F76" s="12" t="inlineStr">
        <is>
          <t>Backend SMTP settings absent; EmailModal open for a patient WITH an email.</t>
        </is>
      </c>
      <c r="G76" s="12" t="inlineStr">
        <is>
          <t>1. Click 'Send Email'.
2. Inspect the Network response.</t>
        </is>
      </c>
      <c r="H76" s="12" t="inlineStr">
        <is>
          <t>Patient with valid email; SMTP unset</t>
        </is>
      </c>
      <c r="I76" s="12" t="inlineStr">
        <is>
          <t>POST /api/exotel/send-email returns 500 {"error":"SMTP settings not configured"}; modal stays open; the send button re-enables (loading reset).</t>
        </is>
      </c>
      <c r="J76" s="12" t="inlineStr">
        <is>
          <t>POST /api/exotel/send-email</t>
        </is>
      </c>
      <c r="K76" s="14" t="inlineStr"/>
      <c r="L76" s="15" t="inlineStr">
        <is>
          <t>Not Executed</t>
        </is>
      </c>
      <c r="M76" s="15" t="inlineStr"/>
      <c r="N76" s="15" t="inlineStr"/>
      <c r="O76" s="15" t="inlineStr"/>
      <c r="P76" s="14" t="inlineStr"/>
    </row>
    <row r="77" ht="60" customHeight="1">
      <c r="A77" s="11" t="inlineStr">
        <is>
          <t>CL-076</t>
        </is>
      </c>
      <c r="B77" s="12" t="inlineStr">
        <is>
          <t>Email Modal</t>
        </is>
      </c>
      <c r="C77" s="12" t="inlineStr">
        <is>
          <t>Cancel closes the Email modal without sending</t>
        </is>
      </c>
      <c r="D77" s="20" t="inlineStr">
        <is>
          <t>Low</t>
        </is>
      </c>
      <c r="E77" s="12" t="inlineStr">
        <is>
          <t>Functional</t>
        </is>
      </c>
      <c r="F77" s="12" t="inlineStr">
        <is>
          <t>EmailModal open with edits.</t>
        </is>
      </c>
      <c r="G77" s="12" t="inlineStr">
        <is>
          <t>1. Edit the body, then click 'Cancel' (and separately press Esc / click outside).
2. Confirm no send occurred.</t>
        </is>
      </c>
      <c r="H77" s="12" t="inlineStr">
        <is>
          <t>N/A</t>
        </is>
      </c>
      <c r="I77" s="12" t="inlineStr">
        <is>
          <t>The modal closes via onClose; no POST /api/exotel/send-email is sent; reopening resets the subject/body to defaults (via the open/patient effect).</t>
        </is>
      </c>
      <c r="J77" s="12" t="inlineStr">
        <is>
          <t>N/A</t>
        </is>
      </c>
      <c r="K77" s="14" t="inlineStr"/>
      <c r="L77" s="15" t="inlineStr">
        <is>
          <t>Not Executed</t>
        </is>
      </c>
      <c r="M77" s="15" t="inlineStr"/>
      <c r="N77" s="15" t="inlineStr"/>
      <c r="O77" s="15" t="inlineStr"/>
      <c r="P77" s="14" t="inlineStr"/>
    </row>
    <row r="78" ht="105" customHeight="1">
      <c r="A78" s="11" t="inlineStr">
        <is>
          <t>CL-077</t>
        </is>
      </c>
      <c r="B78" s="12" t="inlineStr">
        <is>
          <t>Email Modal</t>
        </is>
      </c>
      <c r="C78" s="12" t="inlineStr">
        <is>
          <t>EmailModal hook-order crash when patient toggles null/non-null (KNOWN DEFECT)</t>
        </is>
      </c>
      <c r="D78" s="13" t="inlineStr">
        <is>
          <t>High</t>
        </is>
      </c>
      <c r="E78" s="12" t="inlineStr">
        <is>
          <t>Edge Case</t>
        </is>
      </c>
      <c r="F78" s="12" t="inlineStr">
        <is>
          <t>EmailModal mounted; ability to pass patient as null then non-null (or vice versa).</t>
        </is>
      </c>
      <c r="G78" s="12" t="inlineStr">
        <is>
          <t>1. Render EmailModal with patient=null (early return null fires before the useEffect hook).
2. Then re-render with a non-null patient so the useEffect now runs.
3. Watch the React console / error overlay.</t>
        </is>
      </c>
      <c r="H78" s="12" t="inlineStr">
        <is>
          <t>N/A</t>
        </is>
      </c>
      <c r="I78" s="12" t="inlineStr">
        <is>
          <t>EXPECTED: clean render. ACTUAL (defect): `if (!patient) return null;` sits BEFORE the useEffect, violating the Rules of Hooks; React throws 'Rendered more hooks than during the previous render' when patient transitions from null to a value. Log as FAIL and reference DEF-CL-03.</t>
        </is>
      </c>
      <c r="J78" s="12" t="inlineStr">
        <is>
          <t>N/A</t>
        </is>
      </c>
      <c r="K78" s="14" t="inlineStr"/>
      <c r="L78" s="15" t="inlineStr">
        <is>
          <t>Not Executed</t>
        </is>
      </c>
      <c r="M78" s="15" t="inlineStr"/>
      <c r="N78" s="15" t="inlineStr"/>
      <c r="O78" s="15" t="inlineStr"/>
      <c r="P78" s="14" t="inlineStr"/>
    </row>
    <row r="79" ht="75" customHeight="1">
      <c r="A79" s="16" t="inlineStr">
        <is>
          <t>CL-078</t>
        </is>
      </c>
      <c r="B79" s="17" t="inlineStr">
        <is>
          <t>API &amp; Security</t>
        </is>
      </c>
      <c r="C79" s="17" t="inlineStr">
        <is>
          <t>Guarded endpoints reject requests without a JWT (401)</t>
        </is>
      </c>
      <c r="D79" s="21" t="inlineStr">
        <is>
          <t>High</t>
        </is>
      </c>
      <c r="E79" s="17" t="inlineStr">
        <is>
          <t>API</t>
        </is>
      </c>
      <c r="F79" s="17" t="inlineStr">
        <is>
          <t>Tooling to call the backend with no Authorization header.</t>
        </is>
      </c>
      <c r="G79" s="17" t="inlineStr">
        <is>
          <t>1. Call GET /api/exotel/agents, GET /api/exotel/sop, GET /api/exotel/sop/history, GET /api/exotel/scheduler, POST /api/exotel/send-email each WITHOUT a Bearer token.
2. Inspect each response.</t>
        </is>
      </c>
      <c r="H79" s="17" t="inlineStr">
        <is>
          <t>No Authorization header</t>
        </is>
      </c>
      <c r="I79" s="17" t="inlineStr">
        <is>
          <t>Each returns 401 Unauthorized (JWT required). In the browser this triggers the client refresh-then-redirect flow.</t>
        </is>
      </c>
      <c r="J79" s="17" t="inlineStr">
        <is>
          <t>GET /api/exotel/agents (+ other @jwt_required endpoints)</t>
        </is>
      </c>
      <c r="K79" s="14" t="inlineStr"/>
      <c r="L79" s="15" t="inlineStr">
        <is>
          <t>Not Executed</t>
        </is>
      </c>
      <c r="M79" s="15" t="inlineStr"/>
      <c r="N79" s="15" t="inlineStr"/>
      <c r="O79" s="15" t="inlineStr"/>
      <c r="P79" s="14" t="inlineStr"/>
    </row>
    <row r="80" ht="120" customHeight="1">
      <c r="A80" s="16" t="inlineStr">
        <is>
          <t>CL-079</t>
        </is>
      </c>
      <c r="B80" s="17" t="inlineStr">
        <is>
          <t>API &amp; Security</t>
        </is>
      </c>
      <c r="C80" s="17" t="inlineStr">
        <is>
          <t>Telephony endpoints are publicly reachable without JWT (KNOWN DEFECT)</t>
        </is>
      </c>
      <c r="D80" s="21" t="inlineStr">
        <is>
          <t>High</t>
        </is>
      </c>
      <c r="E80" s="17" t="inlineStr">
        <is>
          <t>API</t>
        </is>
      </c>
      <c r="F80" s="17" t="inlineStr">
        <is>
          <t>Tooling to call the backend with no Authorization header.</t>
        </is>
      </c>
      <c r="G80" s="17" t="inlineStr">
        <is>
          <t>1. Call GET /api/exotel/calls with no token.
2. Call POST /api/exotel/make-call with {from,to} and no token.
3. Call GET /api/exotel/call-status/&lt;sid&gt; with no token.
4. Inspect responses.</t>
        </is>
      </c>
      <c r="H80" s="17" t="inlineStr">
        <is>
          <t>No Authorization header</t>
        </is>
      </c>
      <c r="I80" s="17" t="inlineStr">
        <is>
          <t>EXPECTED: these should require admin auth like the rest of the module. ACTUAL (defect): /api/exotel/calls, /make-call and /call-status/&lt;sid&gt; have NO @jwt_required guard and respond without authentication (an unauthenticated party could read call logs or place Exotel calls). Log as FAIL and reference DEF-CL-04.</t>
        </is>
      </c>
      <c r="J80" s="17" t="inlineStr">
        <is>
          <t>GET /api/exotel/calls ; POST /api/exotel/make-call ; GET /api/exotel/call-status/{sid}</t>
        </is>
      </c>
      <c r="K80" s="14" t="inlineStr"/>
      <c r="L80" s="15" t="inlineStr">
        <is>
          <t>Not Executed</t>
        </is>
      </c>
      <c r="M80" s="15" t="inlineStr"/>
      <c r="N80" s="15" t="inlineStr"/>
      <c r="O80" s="15" t="inlineStr"/>
      <c r="P80" s="14" t="inlineStr"/>
    </row>
    <row r="81" ht="45" customHeight="1">
      <c r="A81" s="16" t="inlineStr">
        <is>
          <t>CL-080</t>
        </is>
      </c>
      <c r="B81" s="17" t="inlineStr">
        <is>
          <t>API &amp; Security</t>
        </is>
      </c>
      <c r="C81" s="17" t="inlineStr">
        <is>
          <t>agent-status PUT validates required body fields (400)</t>
        </is>
      </c>
      <c r="D81" s="18" t="inlineStr">
        <is>
          <t>Medium</t>
        </is>
      </c>
      <c r="E81" s="17" t="inlineStr">
        <is>
          <t>API</t>
        </is>
      </c>
      <c r="F81" s="17" t="inlineStr">
        <is>
          <t>Tooling to PUT with a valid JWT.</t>
        </is>
      </c>
      <c r="G81" s="17" t="inlineStr">
        <is>
          <t>1. PUT /api/exotel/agent-status with body {} (no provider_id/is_on_duty).
2. Inspect the response.</t>
        </is>
      </c>
      <c r="H81" s="17" t="inlineStr">
        <is>
          <t>Body: {}</t>
        </is>
      </c>
      <c r="I81" s="17" t="inlineStr">
        <is>
          <t>Backend returns 400 {"error":"Missing provider_id or is_on_duty"}.</t>
        </is>
      </c>
      <c r="J81" s="17" t="inlineStr">
        <is>
          <t>PUT /api/exotel/agent-status</t>
        </is>
      </c>
      <c r="K81" s="14" t="inlineStr"/>
      <c r="L81" s="15" t="inlineStr">
        <is>
          <t>Not Executed</t>
        </is>
      </c>
      <c r="M81" s="15" t="inlineStr"/>
      <c r="N81" s="15" t="inlineStr"/>
      <c r="O81" s="15" t="inlineStr"/>
      <c r="P81" s="14" t="inlineStr"/>
    </row>
    <row r="82" ht="45" customHeight="1">
      <c r="A82" s="16" t="inlineStr">
        <is>
          <t>CL-081</t>
        </is>
      </c>
      <c r="B82" s="17" t="inlineStr">
        <is>
          <t>API &amp; Security</t>
        </is>
      </c>
      <c r="C82" s="17" t="inlineStr">
        <is>
          <t>send-email validates required body fields (400)</t>
        </is>
      </c>
      <c r="D82" s="18" t="inlineStr">
        <is>
          <t>Medium</t>
        </is>
      </c>
      <c r="E82" s="17" t="inlineStr">
        <is>
          <t>API</t>
        </is>
      </c>
      <c r="F82" s="17" t="inlineStr">
        <is>
          <t>Tooling to POST with a valid JWT.</t>
        </is>
      </c>
      <c r="G82" s="17" t="inlineStr">
        <is>
          <t>1. POST /api/exotel/send-email with body {patient_id:'x'} (no subject/body).
2. Inspect the response.</t>
        </is>
      </c>
      <c r="H82" s="17" t="inlineStr">
        <is>
          <t>Body: {"patient_id":"x"}</t>
        </is>
      </c>
      <c r="I82" s="17" t="inlineStr">
        <is>
          <t>Backend returns 400 {"error":"patient_id, subject, and body are required"}.</t>
        </is>
      </c>
      <c r="J82" s="17" t="inlineStr">
        <is>
          <t>POST /api/exotel/send-email</t>
        </is>
      </c>
      <c r="K82" s="14" t="inlineStr"/>
      <c r="L82" s="15" t="inlineStr">
        <is>
          <t>Not Executed</t>
        </is>
      </c>
      <c r="M82" s="15" t="inlineStr"/>
      <c r="N82" s="15" t="inlineStr"/>
      <c r="O82" s="15" t="inlineStr"/>
      <c r="P82" s="14" t="inlineStr"/>
    </row>
    <row r="83" ht="90" customHeight="1">
      <c r="A83" s="11" t="inlineStr">
        <is>
          <t>CL-082</t>
        </is>
      </c>
      <c r="B83" s="12" t="inlineStr">
        <is>
          <t>Data Integrity</t>
        </is>
      </c>
      <c r="C83" s="12" t="inlineStr">
        <is>
          <t>A saved SOP appears in SOP history and the patient record</t>
        </is>
      </c>
      <c r="D83" s="13" t="inlineStr">
        <is>
          <t>High</t>
        </is>
      </c>
      <c r="E83" s="12" t="inlineStr">
        <is>
          <t>Data Integrity</t>
        </is>
      </c>
      <c r="F83" s="12" t="inlineStr">
        <is>
          <t>Admin; SOP saved for a known patient (CL-038).</t>
        </is>
      </c>
      <c r="G83" s="12" t="inlineStr">
        <is>
          <t>1. Save an SOP for patient Ramesh Kumar with a distinct reason.
2. Go to History &gt; SOP Documentation and locate the record.
3. (If accessible) open the patient's record in the Patients module to confirm linkage.</t>
        </is>
      </c>
      <c r="H83" s="12" t="inlineStr">
        <is>
          <t>Reason: 'Integrity-check 0601'</t>
        </is>
      </c>
      <c r="I83" s="12" t="inlineStr">
        <is>
          <t>The newly saved SOP appears in GET /api/exotel/sop/history for the current range with the correct patient name, staff and reason; the record is tied to the patient_id sent on save.</t>
        </is>
      </c>
      <c r="J83" s="12" t="inlineStr">
        <is>
          <t>POST /api/exotel/sop ; GET /api/exotel/sop/history</t>
        </is>
      </c>
      <c r="K83" s="14" t="inlineStr"/>
      <c r="L83" s="15" t="inlineStr">
        <is>
          <t>Not Executed</t>
        </is>
      </c>
      <c r="M83" s="15" t="inlineStr"/>
      <c r="N83" s="15" t="inlineStr"/>
      <c r="O83" s="15" t="inlineStr"/>
      <c r="P83" s="14" t="inlineStr"/>
    </row>
    <row r="84" ht="75" customHeight="1">
      <c r="A84" s="11" t="inlineStr">
        <is>
          <t>CL-083</t>
        </is>
      </c>
      <c r="B84" s="12" t="inlineStr">
        <is>
          <t>Data Integrity</t>
        </is>
      </c>
      <c r="C84" s="12" t="inlineStr">
        <is>
          <t>Removing a schedule item keeps it gone after a full page reload</t>
        </is>
      </c>
      <c r="D84" s="19" t="inlineStr">
        <is>
          <t>Medium</t>
        </is>
      </c>
      <c r="E84" s="12" t="inlineStr">
        <is>
          <t>Data Integrity</t>
        </is>
      </c>
      <c r="F84" s="12" t="inlineStr">
        <is>
          <t>Admin; &gt;=1 schedule record (CL-064 just removed one).</t>
        </is>
      </c>
      <c r="G84" s="12" t="inlineStr">
        <is>
          <t>1. Remove a schedule record on the Scheduler tab.
2. Hard-reload the page and return to the Scheduler tab.
3. Confirm the record is absent.</t>
        </is>
      </c>
      <c r="H84" s="12" t="inlineStr">
        <is>
          <t>N/A</t>
        </is>
      </c>
      <c r="I84" s="12" t="inlineStr">
        <is>
          <t>After DELETE and a fresh GET /api/exotel/scheduler the removed record does not reappear (deletion is persisted server-side), unlike the client-only Dismiss in CL-060.</t>
        </is>
      </c>
      <c r="J84" s="12" t="inlineStr">
        <is>
          <t>DELETE /api/exotel/scheduler/{schedule_id} ; GET /api/exotel/scheduler</t>
        </is>
      </c>
      <c r="K84" s="14" t="inlineStr"/>
      <c r="L84" s="15" t="inlineStr">
        <is>
          <t>Not Executed</t>
        </is>
      </c>
      <c r="M84" s="15" t="inlineStr"/>
      <c r="N84" s="15" t="inlineStr"/>
      <c r="O84" s="15" t="inlineStr"/>
      <c r="P84" s="14" t="inlineStr"/>
    </row>
    <row r="85" ht="105" customHeight="1">
      <c r="A85" s="11" t="inlineStr">
        <is>
          <t>CL-084</t>
        </is>
      </c>
      <c r="B85" s="12" t="inlineStr">
        <is>
          <t>Data Integrity</t>
        </is>
      </c>
      <c r="C85" s="12" t="inlineStr">
        <is>
          <t>Tab data is scoped/loaded only for the active tab</t>
        </is>
      </c>
      <c r="D85" s="20" t="inlineStr">
        <is>
          <t>Low</t>
        </is>
      </c>
      <c r="E85" s="12" t="inlineStr">
        <is>
          <t>Data Integrity</t>
        </is>
      </c>
      <c r="F85" s="12" t="inlineStr">
        <is>
          <t>Admin on /call-logs; Network tab open.</t>
        </is>
      </c>
      <c r="G85" s="12" t="inlineStr">
        <is>
          <t>1. Watch the Network tab while clicking through Dial -&gt; History -&gt; Escalated -&gt; Scheduler.
2. Confirm which fetches fire per tab.</t>
        </is>
      </c>
      <c r="H85" s="12" t="inlineStr">
        <is>
          <t>N/A</t>
        </is>
      </c>
      <c r="I85" s="12" t="inlineStr">
        <is>
          <t>Dial fetches patients + agents; History (calls sub-tab) fetches exotel/calls; History (docs sub-tab) fetches sop/history; Escalated fetches exotel/sop; Scheduler fetches exotel/scheduler. Inactive-tab fetches are guarded (return early) so they do not fire.</t>
        </is>
      </c>
      <c r="J85" s="12" t="inlineStr">
        <is>
          <t>Multiple (see endpoints table)</t>
        </is>
      </c>
      <c r="K85" s="14" t="inlineStr"/>
      <c r="L85" s="15" t="inlineStr">
        <is>
          <t>Not Executed</t>
        </is>
      </c>
      <c r="M85" s="15" t="inlineStr"/>
      <c r="N85" s="15" t="inlineStr"/>
      <c r="O85" s="15" t="inlineStr"/>
      <c r="P85" s="14" t="inlineStr"/>
    </row>
  </sheetData>
  <autoFilter ref="A1:P85"/>
  <conditionalFormatting sqref="L2:L8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85" showDropDown="0" showInputMessage="0" showErrorMessage="0" allowBlank="1" type="list">
      <formula1>"Not Executed,Pass,Fail,Blocked,N/A"</formula1>
    </dataValidation>
    <dataValidation sqref="M2:M85" showDropDown="0" showInputMessage="0" showErrorMessage="0" allowBlank="1"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90" customHeight="1">
      <c r="A2" s="11" t="inlineStr">
        <is>
          <t>USR-001</t>
        </is>
      </c>
      <c r="B2" s="12" t="inlineStr">
        <is>
          <t>Permission &amp; Access</t>
        </is>
      </c>
      <c r="C2" s="12" t="inlineStr">
        <is>
          <t>Admin can open the Users screen and see the Users sidebar item</t>
        </is>
      </c>
      <c r="D2" s="13" t="inlineStr">
        <is>
          <t>High</t>
        </is>
      </c>
      <c r="E2" s="12" t="inlineStr">
        <is>
          <t>Permission</t>
        </is>
      </c>
      <c r="F2" s="12" t="inlineStr">
        <is>
          <t>Logged in as admin_qa@saranam.in (role=admin).</t>
        </is>
      </c>
      <c r="G2" s="12" t="inlineStr">
        <is>
          <t>1. Log in as the admin.
2. Observe the left sidebar navigation.
3. Click the 'Users' item.
4. Confirm the URL is /users and the Users list screen renders.</t>
        </is>
      </c>
      <c r="H2" s="12" t="inlineStr">
        <is>
          <t>admin_qa@saranam.in / Admin@123</t>
        </is>
      </c>
      <c r="I2" s="12" t="inlineStr">
        <is>
          <t>The 'Users' item is visible in the sidebar. Clicking it routes to /users and renders the Users screen (title 'Users', subtitle 'Manage user accounts and permissions', filter card, users table). No 'Access Denied'.</t>
        </is>
      </c>
      <c r="J2" s="12" t="inlineStr">
        <is>
          <t>GET /api/users</t>
        </is>
      </c>
      <c r="K2" s="14" t="inlineStr"/>
      <c r="L2" s="15" t="inlineStr">
        <is>
          <t>Not Executed</t>
        </is>
      </c>
      <c r="M2" s="15" t="inlineStr"/>
      <c r="N2" s="15" t="inlineStr"/>
      <c r="O2" s="15" t="inlineStr"/>
      <c r="P2" s="14" t="inlineStr"/>
    </row>
    <row r="3" ht="105" customHeight="1">
      <c r="A3" s="11" t="inlineStr">
        <is>
          <t>USR-002</t>
        </is>
      </c>
      <c r="B3" s="12" t="inlineStr">
        <is>
          <t>Permission &amp; Access</t>
        </is>
      </c>
      <c r="C3" s="12" t="inlineStr">
        <is>
          <t>Data-entry user is blocked from /users and the sidebar item is hidden</t>
        </is>
      </c>
      <c r="D3" s="13" t="inlineStr">
        <is>
          <t>High</t>
        </is>
      </c>
      <c r="E3" s="12" t="inlineStr">
        <is>
          <t>Permission</t>
        </is>
      </c>
      <c r="F3" s="12" t="inlineStr">
        <is>
          <t>Logged in as rajesh.kumar@saranam.in (role=data_entry, approved+active).</t>
        </is>
      </c>
      <c r="G3" s="12" t="inlineStr">
        <is>
          <t>1. Log in as the data_entry user.
2. Confirm the sidebar does NOT show a 'Users' item.
3. Manually navigate to /users via the address bar.
4. Observe the page.</t>
        </is>
      </c>
      <c r="H3" s="12" t="inlineStr">
        <is>
          <t>rajesh.kumar@saranam.in / Data@1234</t>
        </is>
      </c>
      <c r="I3" s="12" t="inlineStr">
        <is>
          <t>No 'Users' item in sidebar (filtered out because data_entry lacks manage_users). Navigating to /users shows the 'Access Denied — You don't have permission to access this page.' panel (ProtectedRoute requiredRole='admin'); the users table is NOT rendered.</t>
        </is>
      </c>
      <c r="J3" s="12" t="inlineStr">
        <is>
          <t>N/A</t>
        </is>
      </c>
      <c r="K3" s="14" t="inlineStr"/>
      <c r="L3" s="15" t="inlineStr">
        <is>
          <t>Not Executed</t>
        </is>
      </c>
      <c r="M3" s="15" t="inlineStr"/>
      <c r="N3" s="15" t="inlineStr"/>
      <c r="O3" s="15" t="inlineStr"/>
      <c r="P3" s="14" t="inlineStr"/>
    </row>
    <row r="4" ht="60" customHeight="1">
      <c r="A4" s="11" t="inlineStr">
        <is>
          <t>USR-003</t>
        </is>
      </c>
      <c r="B4" s="12" t="inlineStr">
        <is>
          <t>Permission &amp; Access</t>
        </is>
      </c>
      <c r="C4" s="12" t="inlineStr">
        <is>
          <t>Viewer user is blocked from /users and the sidebar item is hidden</t>
        </is>
      </c>
      <c r="D4" s="13" t="inlineStr">
        <is>
          <t>High</t>
        </is>
      </c>
      <c r="E4" s="12" t="inlineStr">
        <is>
          <t>Permission</t>
        </is>
      </c>
      <c r="F4" s="12" t="inlineStr">
        <is>
          <t>Logged in as anjali.nair@saranam.in (role=viewer).</t>
        </is>
      </c>
      <c r="G4" s="12" t="inlineStr">
        <is>
          <t>1. Log in as the viewer user.
2. Confirm no 'Users' item in the sidebar.
3. Navigate directly to /users.
4. Observe the result.</t>
        </is>
      </c>
      <c r="H4" s="12" t="inlineStr">
        <is>
          <t>anjali.nair@saranam.in / View@1234</t>
        </is>
      </c>
      <c r="I4" s="12" t="inlineStr">
        <is>
          <t>Sidebar has no 'Users' item; /users shows 'Access Denied'. Viewer cannot reach the users table.</t>
        </is>
      </c>
      <c r="J4" s="12" t="inlineStr">
        <is>
          <t>N/A</t>
        </is>
      </c>
      <c r="K4" s="14" t="inlineStr"/>
      <c r="L4" s="15" t="inlineStr">
        <is>
          <t>Not Executed</t>
        </is>
      </c>
      <c r="M4" s="15" t="inlineStr"/>
      <c r="N4" s="15" t="inlineStr"/>
      <c r="O4" s="15" t="inlineStr"/>
      <c r="P4" s="14" t="inlineStr"/>
    </row>
    <row r="5" ht="45" customHeight="1">
      <c r="A5" s="11" t="inlineStr">
        <is>
          <t>USR-004</t>
        </is>
      </c>
      <c r="B5" s="12" t="inlineStr">
        <is>
          <t>Permission &amp; Access</t>
        </is>
      </c>
      <c r="C5" s="12" t="inlineStr">
        <is>
          <t>Unauthenticated visit to /users redirects to login</t>
        </is>
      </c>
      <c r="D5" s="13" t="inlineStr">
        <is>
          <t>High</t>
        </is>
      </c>
      <c r="E5" s="12" t="inlineStr">
        <is>
          <t>Permission</t>
        </is>
      </c>
      <c r="F5" s="12" t="inlineStr">
        <is>
          <t>Not logged in (clear localStorage / open a fresh private window).</t>
        </is>
      </c>
      <c r="G5" s="12" t="inlineStr">
        <is>
          <t>1. Without logging in, enter https://saranam.fieldintel.ai/users in the address bar.
2. Observe redirect behaviour.</t>
        </is>
      </c>
      <c r="H5" s="12" t="inlineStr">
        <is>
          <t>N/A</t>
        </is>
      </c>
      <c r="I5" s="12" t="inlineStr">
        <is>
          <t>ProtectedRoute sees no user and redirects to /login (replace). No users data is fetched or shown.</t>
        </is>
      </c>
      <c r="J5" s="12" t="inlineStr">
        <is>
          <t>N/A</t>
        </is>
      </c>
      <c r="K5" s="14" t="inlineStr"/>
      <c r="L5" s="15" t="inlineStr">
        <is>
          <t>Not Executed</t>
        </is>
      </c>
      <c r="M5" s="15" t="inlineStr"/>
      <c r="N5" s="15" t="inlineStr"/>
      <c r="O5" s="15" t="inlineStr"/>
      <c r="P5" s="14" t="inlineStr"/>
    </row>
    <row r="6" ht="75" customHeight="1">
      <c r="A6" s="11" t="inlineStr">
        <is>
          <t>USR-005</t>
        </is>
      </c>
      <c r="B6" s="12" t="inlineStr">
        <is>
          <t>Permission &amp; Access</t>
        </is>
      </c>
      <c r="C6" s="12" t="inlineStr">
        <is>
          <t>API rejects a non-admin token with 403 for every Users endpoint</t>
        </is>
      </c>
      <c r="D6" s="13" t="inlineStr">
        <is>
          <t>High</t>
        </is>
      </c>
      <c r="E6" s="12" t="inlineStr">
        <is>
          <t>API</t>
        </is>
      </c>
      <c r="F6" s="12" t="inlineStr">
        <is>
          <t>Have a valid access_token for the data_entry user (capture from login response).</t>
        </is>
      </c>
      <c r="G6" s="12" t="inlineStr">
        <is>
          <t>1. Using the data_entry token, call GET /api/users.
2. Call GET /api/users/pending/count.
3. Call PUT /api/users/{anyId}/toggle-status.
4. Inspect status codes and bodies.</t>
        </is>
      </c>
      <c r="H6" s="12" t="inlineStr">
        <is>
          <t>Authorization: Bearer &lt;data_entry token&gt;</t>
        </is>
      </c>
      <c r="I6" s="12" t="inlineStr">
        <is>
          <t>Each call returns HTTP 403 with body message 'Access denied. Required permission: manage_users' and error 'insufficient_permissions'. No data is returned or mutated.</t>
        </is>
      </c>
      <c r="J6" s="12" t="inlineStr">
        <is>
          <t>GET /api/users, GET /api/users/pending/count, PUT /api/users/{id}/toggle-status</t>
        </is>
      </c>
      <c r="K6" s="14" t="inlineStr"/>
      <c r="L6" s="15" t="inlineStr">
        <is>
          <t>Not Executed</t>
        </is>
      </c>
      <c r="M6" s="15" t="inlineStr"/>
      <c r="N6" s="15" t="inlineStr"/>
      <c r="O6" s="15" t="inlineStr"/>
      <c r="P6" s="14" t="inlineStr"/>
    </row>
    <row r="7" ht="75" customHeight="1">
      <c r="A7" s="11" t="inlineStr">
        <is>
          <t>USR-006</t>
        </is>
      </c>
      <c r="B7" s="12" t="inlineStr">
        <is>
          <t>Permission &amp; Access</t>
        </is>
      </c>
      <c r="C7" s="12" t="inlineStr">
        <is>
          <t>API rejects a missing/expired token with 401</t>
        </is>
      </c>
      <c r="D7" s="13" t="inlineStr">
        <is>
          <t>High</t>
        </is>
      </c>
      <c r="E7" s="12" t="inlineStr">
        <is>
          <t>API</t>
        </is>
      </c>
      <c r="F7" s="12" t="inlineStr">
        <is>
          <t>None.</t>
        </is>
      </c>
      <c r="G7" s="12" t="inlineStr">
        <is>
          <t>1. Call GET /api/users with NO Authorization header.
2. Call GET /api/users with an obviously invalid/expired Bearer token.
3. Inspect status codes.</t>
        </is>
      </c>
      <c r="H7" s="12" t="inlineStr">
        <is>
          <t>Authorization: (none) and Authorization: Bearer invalid.token.value</t>
        </is>
      </c>
      <c r="I7" s="12" t="inlineStr">
        <is>
          <t>Both calls return HTTP 401 (JWT verification fails). In the browser, the axios response interceptor attempts a refresh; if refresh_token is absent/invalid it clears storage and redirects to /login.</t>
        </is>
      </c>
      <c r="J7" s="12" t="inlineStr">
        <is>
          <t>GET /api/users</t>
        </is>
      </c>
      <c r="K7" s="14" t="inlineStr"/>
      <c r="L7" s="15" t="inlineStr">
        <is>
          <t>Not Executed</t>
        </is>
      </c>
      <c r="M7" s="15" t="inlineStr"/>
      <c r="N7" s="15" t="inlineStr"/>
      <c r="O7" s="15" t="inlineStr"/>
      <c r="P7" s="14" t="inlineStr"/>
    </row>
    <row r="8" ht="90" customHeight="1">
      <c r="A8" s="11" t="inlineStr">
        <is>
          <t>USR-007</t>
        </is>
      </c>
      <c r="B8" s="12" t="inlineStr">
        <is>
          <t>Permission &amp; Access</t>
        </is>
      </c>
      <c r="C8" s="12" t="inlineStr">
        <is>
          <t>Enumerate role capabilities on the Users module (matrix)</t>
        </is>
      </c>
      <c r="D8" s="19" t="inlineStr">
        <is>
          <t>Medium</t>
        </is>
      </c>
      <c r="E8" s="12" t="inlineStr">
        <is>
          <t>Permission</t>
        </is>
      </c>
      <c r="F8" s="12" t="inlineStr">
        <is>
          <t>Accounts for admin, data_entry, viewer available.</t>
        </is>
      </c>
      <c r="G8" s="12" t="inlineStr">
        <is>
          <t>1. Log in as admin; confirm full Users access (list/approve/reject/edit/toggle).
2. Log in as data_entry; confirm zero Users access (no sidebar item, /users denied, API 403).
3. Log in as viewer; confirm zero Users access (no sidebar item, /users denied, API 403).</t>
        </is>
      </c>
      <c r="H8" s="12" t="inlineStr">
        <is>
          <t>Three role accounts from setup</t>
        </is>
      </c>
      <c r="I8" s="12" t="inlineStr">
        <is>
          <t>Only admin can list and manage users. data_entry and viewer have no access on UI or API. Matches permission map where only admin holds manage_users.</t>
        </is>
      </c>
      <c r="J8" s="12" t="inlineStr">
        <is>
          <t>GET /api/users</t>
        </is>
      </c>
      <c r="K8" s="14" t="inlineStr"/>
      <c r="L8" s="15" t="inlineStr">
        <is>
          <t>Not Executed</t>
        </is>
      </c>
      <c r="M8" s="15" t="inlineStr"/>
      <c r="N8" s="15" t="inlineStr"/>
      <c r="O8" s="15" t="inlineStr"/>
      <c r="P8" s="14" t="inlineStr"/>
    </row>
    <row r="9" ht="75" customHeight="1">
      <c r="A9" s="16" t="inlineStr">
        <is>
          <t>USR-008</t>
        </is>
      </c>
      <c r="B9" s="17" t="inlineStr">
        <is>
          <t>Users List</t>
        </is>
      </c>
      <c r="C9" s="17" t="inlineStr">
        <is>
          <t>Loading skeleton appears while users are being fetched</t>
        </is>
      </c>
      <c r="D9" s="18" t="inlineStr">
        <is>
          <t>Medium</t>
        </is>
      </c>
      <c r="E9" s="17" t="inlineStr">
        <is>
          <t>UI/UX</t>
        </is>
      </c>
      <c r="F9" s="17" t="inlineStr">
        <is>
          <t>Admin logged in; throttle network (DevTools 'Slow 3G') to observe.</t>
        </is>
      </c>
      <c r="G9" s="17" t="inlineStr">
        <is>
          <t>1. Throttle the network in DevTools.
2. Navigate to /users (or reload).
3. Observe the area where the table renders before data arrives.</t>
        </is>
      </c>
      <c r="H9" s="17" t="inlineStr">
        <is>
          <t>N/A</t>
        </is>
      </c>
      <c r="I9" s="17" t="inlineStr">
        <is>
          <t>While loading, a card with five grey animate-pulse skeleton bars is shown (no table, no empty state). After GET /api/users resolves, the skeleton is replaced by the table.</t>
        </is>
      </c>
      <c r="J9" s="17" t="inlineStr">
        <is>
          <t>GET /api/users</t>
        </is>
      </c>
      <c r="K9" s="14" t="inlineStr"/>
      <c r="L9" s="15" t="inlineStr">
        <is>
          <t>Not Executed</t>
        </is>
      </c>
      <c r="M9" s="15" t="inlineStr"/>
      <c r="N9" s="15" t="inlineStr"/>
      <c r="O9" s="15" t="inlineStr"/>
      <c r="P9" s="14" t="inlineStr"/>
    </row>
    <row r="10" ht="120" customHeight="1">
      <c r="A10" s="16" t="inlineStr">
        <is>
          <t>USR-009</t>
        </is>
      </c>
      <c r="B10" s="17" t="inlineStr">
        <is>
          <t>Users List</t>
        </is>
      </c>
      <c r="C10" s="17" t="inlineStr">
        <is>
          <t>Users list loads and rows display name, email, role, status, joined date</t>
        </is>
      </c>
      <c r="D10" s="21" t="inlineStr">
        <is>
          <t>High</t>
        </is>
      </c>
      <c r="E10" s="17" t="inlineStr">
        <is>
          <t>Functional</t>
        </is>
      </c>
      <c r="F10" s="17" t="inlineStr">
        <is>
          <t>Admin logged in; &gt;=12 users seeded.</t>
        </is>
      </c>
      <c r="G10" s="17" t="inlineStr">
        <is>
          <t>1. Open /users.
2. Inspect the table columns: User, Role, Status, Joined, Actions.
3. Verify each row shows full_name (bold) over email (muted), a role badge, a status badge, and the created_at date.
4. Cross-check a row against the GET /api/users response payload.</t>
        </is>
      </c>
      <c r="H10" s="17" t="inlineStr">
        <is>
          <t>N/A</t>
        </is>
      </c>
      <c r="I10" s="17" t="inlineStr">
        <is>
          <t>Table renders all users. Each row: name+email in User cell; role badge with capitalised label and underscore replaced by space (e.g. 'data_entry' -&gt; 'Data entry'); status badge; Joined = new Date(created_at).toLocaleDateString(); Actions per status. Data matches API.</t>
        </is>
      </c>
      <c r="J10" s="17" t="inlineStr">
        <is>
          <t>GET /api/users</t>
        </is>
      </c>
      <c r="K10" s="14" t="inlineStr"/>
      <c r="L10" s="15" t="inlineStr">
        <is>
          <t>Not Executed</t>
        </is>
      </c>
      <c r="M10" s="15" t="inlineStr"/>
      <c r="N10" s="15" t="inlineStr"/>
      <c r="O10" s="15" t="inlineStr"/>
      <c r="P10" s="14" t="inlineStr"/>
    </row>
    <row r="11" ht="60" customHeight="1">
      <c r="A11" s="16" t="inlineStr">
        <is>
          <t>USR-010</t>
        </is>
      </c>
      <c r="B11" s="17" t="inlineStr">
        <is>
          <t>Users List</t>
        </is>
      </c>
      <c r="C11" s="17" t="inlineStr">
        <is>
          <t>Role badge colour mapping (admin=danger, data_entry=primary, viewer=gray)</t>
        </is>
      </c>
      <c r="D11" s="22" t="inlineStr">
        <is>
          <t>Low</t>
        </is>
      </c>
      <c r="E11" s="17" t="inlineStr">
        <is>
          <t>UI/UX</t>
        </is>
      </c>
      <c r="F11" s="17" t="inlineStr">
        <is>
          <t>Admin logged in; at least one user of each role present.</t>
        </is>
      </c>
      <c r="G11" s="17" t="inlineStr">
        <is>
          <t>1. Open /users.
2. Locate an admin row, a data_entry row, and a viewer row.
3. Compare the colour of each role badge.</t>
        </is>
      </c>
      <c r="H11" s="17" t="inlineStr">
        <is>
          <t>N/A</t>
        </is>
      </c>
      <c r="I11" s="17" t="inlineStr">
        <is>
          <t>admin -&gt; badge-danger (red), data_entry -&gt; badge-primary, viewer -&gt; badge-gray. Any unknown role would also render gray (default).</t>
        </is>
      </c>
      <c r="J11" s="17" t="inlineStr">
        <is>
          <t>N/A</t>
        </is>
      </c>
      <c r="K11" s="14" t="inlineStr"/>
      <c r="L11" s="15" t="inlineStr">
        <is>
          <t>Not Executed</t>
        </is>
      </c>
      <c r="M11" s="15" t="inlineStr"/>
      <c r="N11" s="15" t="inlineStr"/>
      <c r="O11" s="15" t="inlineStr"/>
      <c r="P11" s="14" t="inlineStr"/>
    </row>
    <row r="12" ht="105" customHeight="1">
      <c r="A12" s="16" t="inlineStr">
        <is>
          <t>USR-011</t>
        </is>
      </c>
      <c r="B12" s="17" t="inlineStr">
        <is>
          <t>Users List</t>
        </is>
      </c>
      <c r="C12" s="17" t="inlineStr">
        <is>
          <t>Status badge mapping reflects approval and active flags</t>
        </is>
      </c>
      <c r="D12" s="21" t="inlineStr">
        <is>
          <t>High</t>
        </is>
      </c>
      <c r="E12" s="17" t="inlineStr">
        <is>
          <t>Functional</t>
        </is>
      </c>
      <c r="F12" s="17" t="inlineStr">
        <is>
          <t>Admin logged in; one pending, one active, one deactivated user present.</t>
        </is>
      </c>
      <c r="G12" s="17" t="inlineStr">
        <is>
          <t>1. Open /users.
2. Find the pending user (is_approved=false).
3. Find the active user (is_approved=true, is_active=true).
4. Find the deactivated user (is_approved=true, is_active=false).
5. Verify the status badge for each.</t>
        </is>
      </c>
      <c r="H12" s="17" t="inlineStr">
        <is>
          <t>priya.menon (pending), rajesh.kumar (active), meena.raman (deactivated)</t>
        </is>
      </c>
      <c r="I12" s="17" t="inlineStr">
        <is>
          <t>Pending -&gt; amber 'Pending Approval'; Active -&gt; green 'Active'; Deactivated -&gt; grey 'Inactive'. Note: precedence is approval first — any user with is_approved=false shows 'Pending Approval' even if inactive (see USR-031 data-integrity edge).</t>
        </is>
      </c>
      <c r="J12" s="17" t="inlineStr">
        <is>
          <t>N/A</t>
        </is>
      </c>
      <c r="K12" s="14" t="inlineStr"/>
      <c r="L12" s="15" t="inlineStr">
        <is>
          <t>Not Executed</t>
        </is>
      </c>
      <c r="M12" s="15" t="inlineStr"/>
      <c r="N12" s="15" t="inlineStr"/>
      <c r="O12" s="15" t="inlineStr"/>
      <c r="P12" s="14" t="inlineStr"/>
    </row>
    <row r="13" ht="75" customHeight="1">
      <c r="A13" s="16" t="inlineStr">
        <is>
          <t>USR-012</t>
        </is>
      </c>
      <c r="B13" s="17" t="inlineStr">
        <is>
          <t>Users List</t>
        </is>
      </c>
      <c r="C13" s="17" t="inlineStr">
        <is>
          <t>Header shows the pending-approval count badge</t>
        </is>
      </c>
      <c r="D13" s="18" t="inlineStr">
        <is>
          <t>Medium</t>
        </is>
      </c>
      <c r="E13" s="17" t="inlineStr">
        <is>
          <t>Functional</t>
        </is>
      </c>
      <c r="F13" s="17" t="inlineStr">
        <is>
          <t>Admin logged in; exactly N users with is_approved=false (e.g. 2).</t>
        </is>
      </c>
      <c r="G13" s="17" t="inlineStr">
        <is>
          <t>1. Open /users.
2. Observe the amber badge next to the 'Users' title.
3. Count the rows whose status is 'Pending Approval' and compare.</t>
        </is>
      </c>
      <c r="H13" s="17" t="inlineStr">
        <is>
          <t>Seed 2 unapproved users</t>
        </is>
      </c>
      <c r="I13" s="17" t="inlineStr">
        <is>
          <t>Header shows 'N pending approval' where N = count of users with is_approved=false. Badge is hidden when N=0. (Counted client-side from the loaded list, not from /pending/count.)</t>
        </is>
      </c>
      <c r="J13" s="17" t="inlineStr">
        <is>
          <t>N/A</t>
        </is>
      </c>
      <c r="K13" s="14" t="inlineStr"/>
      <c r="L13" s="15" t="inlineStr">
        <is>
          <t>Not Executed</t>
        </is>
      </c>
      <c r="M13" s="15" t="inlineStr"/>
      <c r="N13" s="15" t="inlineStr"/>
      <c r="O13" s="15" t="inlineStr"/>
      <c r="P13" s="14" t="inlineStr"/>
    </row>
    <row r="14" ht="60" customHeight="1">
      <c r="A14" s="16" t="inlineStr">
        <is>
          <t>USR-013</t>
        </is>
      </c>
      <c r="B14" s="17" t="inlineStr">
        <is>
          <t>Users List</t>
        </is>
      </c>
      <c r="C14" s="17" t="inlineStr">
        <is>
          <t>Search filters rows by name (case-insensitive, client-side)</t>
        </is>
      </c>
      <c r="D14" s="21" t="inlineStr">
        <is>
          <t>High</t>
        </is>
      </c>
      <c r="E14" s="17" t="inlineStr">
        <is>
          <t>Functional</t>
        </is>
      </c>
      <c r="F14" s="17" t="inlineStr">
        <is>
          <t>Admin logged in; user 'Rajesh Kumar' exists.</t>
        </is>
      </c>
      <c r="G14" s="17" t="inlineStr">
        <is>
          <t>1. Open /users.
2. Type 'rajesh' into the Search box.
3. Observe the table updates as you type.
4. Clear the search box.</t>
        </is>
      </c>
      <c r="H14" s="17" t="inlineStr">
        <is>
          <t>Search term: rajesh</t>
        </is>
      </c>
      <c r="I14" s="17" t="inlineStr">
        <is>
          <t>Only rows whose full_name or email contains 'rajesh' (case-insensitive) remain. No network call is made (filtering is in-memory). Clearing restores the full list.</t>
        </is>
      </c>
      <c r="J14" s="17" t="inlineStr">
        <is>
          <t>N/A</t>
        </is>
      </c>
      <c r="K14" s="14" t="inlineStr"/>
      <c r="L14" s="15" t="inlineStr">
        <is>
          <t>Not Executed</t>
        </is>
      </c>
      <c r="M14" s="15" t="inlineStr"/>
      <c r="N14" s="15" t="inlineStr"/>
      <c r="O14" s="15" t="inlineStr"/>
      <c r="P14" s="14" t="inlineStr"/>
    </row>
    <row r="15" ht="60" customHeight="1">
      <c r="A15" s="16" t="inlineStr">
        <is>
          <t>USR-014</t>
        </is>
      </c>
      <c r="B15" s="17" t="inlineStr">
        <is>
          <t>Users List</t>
        </is>
      </c>
      <c r="C15" s="17" t="inlineStr">
        <is>
          <t>Search filters by email substring</t>
        </is>
      </c>
      <c r="D15" s="18" t="inlineStr">
        <is>
          <t>Medium</t>
        </is>
      </c>
      <c r="E15" s="17" t="inlineStr">
        <is>
          <t>Functional</t>
        </is>
      </c>
      <c r="F15" s="17" t="inlineStr">
        <is>
          <t>Admin logged in.</t>
        </is>
      </c>
      <c r="G15" s="17" t="inlineStr">
        <is>
          <t>1. Open /users.
2. Type '@saranam.in' into Search.
3. Then type a more specific local-part such as 'anjali'.</t>
        </is>
      </c>
      <c r="H15" s="17" t="inlineStr">
        <is>
          <t>Search terms: @saranam.in, anjali</t>
        </is>
      </c>
      <c r="I15" s="17" t="inlineStr">
        <is>
          <t>Matching is on email substring too; '@saranam.in' keeps all saranam emails, 'anjali' narrows to anjali.nair@saranam.in.</t>
        </is>
      </c>
      <c r="J15" s="17" t="inlineStr">
        <is>
          <t>N/A</t>
        </is>
      </c>
      <c r="K15" s="14" t="inlineStr"/>
      <c r="L15" s="15" t="inlineStr">
        <is>
          <t>Not Executed</t>
        </is>
      </c>
      <c r="M15" s="15" t="inlineStr"/>
      <c r="N15" s="15" t="inlineStr"/>
      <c r="O15" s="15" t="inlineStr"/>
      <c r="P15" s="14" t="inlineStr"/>
    </row>
    <row r="16" ht="60" customHeight="1">
      <c r="A16" s="16" t="inlineStr">
        <is>
          <t>USR-015</t>
        </is>
      </c>
      <c r="B16" s="17" t="inlineStr">
        <is>
          <t>Users List</t>
        </is>
      </c>
      <c r="C16" s="17" t="inlineStr">
        <is>
          <t>Search with no matches shows the empty state</t>
        </is>
      </c>
      <c r="D16" s="18" t="inlineStr">
        <is>
          <t>Medium</t>
        </is>
      </c>
      <c r="E16" s="17" t="inlineStr">
        <is>
          <t>Edge Case</t>
        </is>
      </c>
      <c r="F16" s="17" t="inlineStr">
        <is>
          <t>Admin logged in.</t>
        </is>
      </c>
      <c r="G16" s="17" t="inlineStr">
        <is>
          <t>1. Open /users.
2. Type a string that matches no user, e.g. 'zzzzzz-nouser'.
3. Observe the empty state.</t>
        </is>
      </c>
      <c r="H16" s="17" t="inlineStr">
        <is>
          <t>Search term: zzzzzz-nouser</t>
        </is>
      </c>
      <c r="I16" s="17" t="inlineStr">
        <is>
          <t>Empty-state card: Users icon, 'No users found', and helper text 'Try adjusting your search terms' (because searchTerm is non-empty). The table is hidden.</t>
        </is>
      </c>
      <c r="J16" s="17" t="inlineStr">
        <is>
          <t>N/A</t>
        </is>
      </c>
      <c r="K16" s="14" t="inlineStr"/>
      <c r="L16" s="15" t="inlineStr">
        <is>
          <t>Not Executed</t>
        </is>
      </c>
      <c r="M16" s="15" t="inlineStr"/>
      <c r="N16" s="15" t="inlineStr"/>
      <c r="O16" s="15" t="inlineStr"/>
      <c r="P16" s="14" t="inlineStr"/>
    </row>
    <row r="17" ht="60" customHeight="1">
      <c r="A17" s="16" t="inlineStr">
        <is>
          <t>USR-016</t>
        </is>
      </c>
      <c r="B17" s="17" t="inlineStr">
        <is>
          <t>Users List</t>
        </is>
      </c>
      <c r="C17" s="17" t="inlineStr">
        <is>
          <t>Status filter — Pending Approval</t>
        </is>
      </c>
      <c r="D17" s="21" t="inlineStr">
        <is>
          <t>High</t>
        </is>
      </c>
      <c r="E17" s="17" t="inlineStr">
        <is>
          <t>Functional</t>
        </is>
      </c>
      <c r="F17" s="17" t="inlineStr">
        <is>
          <t>Admin logged in; pending and approved users present.</t>
        </is>
      </c>
      <c r="G17" s="17" t="inlineStr">
        <is>
          <t>1. Open /users.
2. Select 'Pending Approval' in the status dropdown.
3. Observe the rows shown.</t>
        </is>
      </c>
      <c r="H17" s="17" t="inlineStr">
        <is>
          <t>Filter = pending</t>
        </is>
      </c>
      <c r="I17" s="17" t="inlineStr">
        <is>
          <t>Only users with is_approved=false are listed (each shows 'Pending Approval' and Approve/Reject actions). Approved users are hidden.</t>
        </is>
      </c>
      <c r="J17" s="17" t="inlineStr">
        <is>
          <t>N/A</t>
        </is>
      </c>
      <c r="K17" s="14" t="inlineStr"/>
      <c r="L17" s="15" t="inlineStr">
        <is>
          <t>Not Executed</t>
        </is>
      </c>
      <c r="M17" s="15" t="inlineStr"/>
      <c r="N17" s="15" t="inlineStr"/>
      <c r="O17" s="15" t="inlineStr"/>
      <c r="P17" s="14" t="inlineStr"/>
    </row>
    <row r="18" ht="60" customHeight="1">
      <c r="A18" s="16" t="inlineStr">
        <is>
          <t>USR-017</t>
        </is>
      </c>
      <c r="B18" s="17" t="inlineStr">
        <is>
          <t>Users List</t>
        </is>
      </c>
      <c r="C18" s="17" t="inlineStr">
        <is>
          <t>Status filter — Active</t>
        </is>
      </c>
      <c r="D18" s="21" t="inlineStr">
        <is>
          <t>High</t>
        </is>
      </c>
      <c r="E18" s="17" t="inlineStr">
        <is>
          <t>Functional</t>
        </is>
      </c>
      <c r="F18" s="17" t="inlineStr">
        <is>
          <t>Admin logged in.</t>
        </is>
      </c>
      <c r="G18" s="17" t="inlineStr">
        <is>
          <t>1. Open /users.
2. Select 'Active'.
3. Observe the rows.</t>
        </is>
      </c>
      <c r="H18" s="17" t="inlineStr">
        <is>
          <t>Filter = active</t>
        </is>
      </c>
      <c r="I18" s="17" t="inlineStr">
        <is>
          <t>Only users with is_active=true AND is_approved=true appear (status 'Active', Deactivate/Edit actions). Pending and inactive users are excluded.</t>
        </is>
      </c>
      <c r="J18" s="17" t="inlineStr">
        <is>
          <t>N/A</t>
        </is>
      </c>
      <c r="K18" s="14" t="inlineStr"/>
      <c r="L18" s="15" t="inlineStr">
        <is>
          <t>Not Executed</t>
        </is>
      </c>
      <c r="M18" s="15" t="inlineStr"/>
      <c r="N18" s="15" t="inlineStr"/>
      <c r="O18" s="15" t="inlineStr"/>
      <c r="P18" s="14" t="inlineStr"/>
    </row>
    <row r="19" ht="120" customHeight="1">
      <c r="A19" s="16" t="inlineStr">
        <is>
          <t>USR-018</t>
        </is>
      </c>
      <c r="B19" s="17" t="inlineStr">
        <is>
          <t>Users List</t>
        </is>
      </c>
      <c r="C19" s="17" t="inlineStr">
        <is>
          <t>Status filter — Inactive (and rejected-user overlap)</t>
        </is>
      </c>
      <c r="D19" s="18" t="inlineStr">
        <is>
          <t>Medium</t>
        </is>
      </c>
      <c r="E19" s="17" t="inlineStr">
        <is>
          <t>Functional</t>
        </is>
      </c>
      <c r="F19" s="17" t="inlineStr">
        <is>
          <t>Admin logged in; one deactivated user and one rejected user present.</t>
        </is>
      </c>
      <c r="G19" s="17" t="inlineStr">
        <is>
          <t>1. Open /users.
2. Select 'Inactive'.
3. Observe which users appear.</t>
        </is>
      </c>
      <c r="H19" s="17" t="inlineStr">
        <is>
          <t>Filter = inactive</t>
        </is>
      </c>
      <c r="I19" s="17" t="inlineStr">
        <is>
          <t>All users with is_active=false appear (the deactivated approved user AND the rejected user, since reject sets is_active=false). Note overlap: a rejected user (is_approved=false, is_active=false) appears under BOTH the 'Inactive' filter here and the 'Pending Approval' filter (USR-016) — flag as a usability/data-integrity observation.</t>
        </is>
      </c>
      <c r="J19" s="17" t="inlineStr">
        <is>
          <t>N/A</t>
        </is>
      </c>
      <c r="K19" s="14" t="inlineStr"/>
      <c r="L19" s="15" t="inlineStr">
        <is>
          <t>Not Executed</t>
        </is>
      </c>
      <c r="M19" s="15" t="inlineStr"/>
      <c r="N19" s="15" t="inlineStr"/>
      <c r="O19" s="15" t="inlineStr"/>
      <c r="P19" s="14" t="inlineStr"/>
    </row>
    <row r="20" ht="60" customHeight="1">
      <c r="A20" s="16" t="inlineStr">
        <is>
          <t>USR-019</t>
        </is>
      </c>
      <c r="B20" s="17" t="inlineStr">
        <is>
          <t>Users List</t>
        </is>
      </c>
      <c r="C20" s="17" t="inlineStr">
        <is>
          <t>Filter + search combine (AND logic)</t>
        </is>
      </c>
      <c r="D20" s="18" t="inlineStr">
        <is>
          <t>Medium</t>
        </is>
      </c>
      <c r="E20" s="17" t="inlineStr">
        <is>
          <t>Functional</t>
        </is>
      </c>
      <c r="F20" s="17" t="inlineStr">
        <is>
          <t>Admin logged in.</t>
        </is>
      </c>
      <c r="G20" s="17" t="inlineStr">
        <is>
          <t>1. Open /users.
2. Set filter to 'Active'.
3. Type 'kumar' in Search.
4. Observe results.</t>
        </is>
      </c>
      <c r="H20" s="17" t="inlineStr">
        <is>
          <t>Filter = active, Search = kumar</t>
        </is>
      </c>
      <c r="I20" s="17" t="inlineStr">
        <is>
          <t>Only active+approved users whose name/email contains 'kumar' are shown (both conditions must hold). If none match, empty state appears.</t>
        </is>
      </c>
      <c r="J20" s="17" t="inlineStr">
        <is>
          <t>N/A</t>
        </is>
      </c>
      <c r="K20" s="14" t="inlineStr"/>
      <c r="L20" s="15" t="inlineStr">
        <is>
          <t>Not Executed</t>
        </is>
      </c>
      <c r="M20" s="15" t="inlineStr"/>
      <c r="N20" s="15" t="inlineStr"/>
      <c r="O20" s="15" t="inlineStr"/>
      <c r="P20" s="14" t="inlineStr"/>
    </row>
    <row r="21" ht="90" customHeight="1">
      <c r="A21" s="16" t="inlineStr">
        <is>
          <t>USR-020</t>
        </is>
      </c>
      <c r="B21" s="17" t="inlineStr">
        <is>
          <t>Users List</t>
        </is>
      </c>
      <c r="C21" s="17" t="inlineStr">
        <is>
          <t>List load failure shows the error alert</t>
        </is>
      </c>
      <c r="D21" s="18" t="inlineStr">
        <is>
          <t>Medium</t>
        </is>
      </c>
      <c r="E21" s="17" t="inlineStr">
        <is>
          <t>Negative</t>
        </is>
      </c>
      <c r="F21" s="17" t="inlineStr">
        <is>
          <t>Admin logged in; simulate GET /api/users 500 (or block the request in DevTools).</t>
        </is>
      </c>
      <c r="G21" s="17" t="inlineStr">
        <is>
          <t>1. Open DevTools and force GET /api/users to fail/return 500.
2. Navigate to /users (or reload).
3. Observe the screen.</t>
        </is>
      </c>
      <c r="H21" s="17" t="inlineStr">
        <is>
          <t>N/A</t>
        </is>
      </c>
      <c r="I21" s="17" t="inlineStr">
        <is>
          <t>A red alert with AlertCircle icon shows the server message (err.response.data.message) or fallback 'Failed to load users'. The loading skeleton ends; with no users, the empty-state card ('No users match the selected filter') is also shown.</t>
        </is>
      </c>
      <c r="J21" s="17" t="inlineStr">
        <is>
          <t>GET /api/users</t>
        </is>
      </c>
      <c r="K21" s="14" t="inlineStr"/>
      <c r="L21" s="15" t="inlineStr">
        <is>
          <t>Not Executed</t>
        </is>
      </c>
      <c r="M21" s="15" t="inlineStr"/>
      <c r="N21" s="15" t="inlineStr"/>
      <c r="O21" s="15" t="inlineStr"/>
      <c r="P21" s="14" t="inlineStr"/>
    </row>
    <row r="22" ht="90" customHeight="1">
      <c r="A22" s="11" t="inlineStr">
        <is>
          <t>USR-021</t>
        </is>
      </c>
      <c r="B22" s="12" t="inlineStr">
        <is>
          <t>Approve / Reject</t>
        </is>
      </c>
      <c r="C22" s="12" t="inlineStr">
        <is>
          <t>Approve a pending user</t>
        </is>
      </c>
      <c r="D22" s="13" t="inlineStr">
        <is>
          <t>High</t>
        </is>
      </c>
      <c r="E22" s="12" t="inlineStr">
        <is>
          <t>Functional</t>
        </is>
      </c>
      <c r="F22" s="12" t="inlineStr">
        <is>
          <t>Admin logged in; priya.menon is pending (is_approved=false).</t>
        </is>
      </c>
      <c r="G22" s="12" t="inlineStr">
        <is>
          <t>1. Open /users; locate priya.menon's row (status 'Pending Approval').
2. Click 'Approve'.
3. Observe the row update and the Network call.</t>
        </is>
      </c>
      <c r="H22" s="12" t="inlineStr">
        <is>
          <t>User: priya.menon@saranam.in</t>
        </is>
      </c>
      <c r="I22" s="12" t="inlineStr">
        <is>
          <t>POST /api/users/{id}/approve returns 200 with the updated user (is_approved=true, is_active=true). The row's status flips to green 'Active' and actions become Deactivate/Edit, with no full reload. The header pending count decreases by 1.</t>
        </is>
      </c>
      <c r="J22" s="12" t="inlineStr">
        <is>
          <t>POST /api/users/{id}/approve</t>
        </is>
      </c>
      <c r="K22" s="14" t="inlineStr"/>
      <c r="L22" s="15" t="inlineStr">
        <is>
          <t>Not Executed</t>
        </is>
      </c>
      <c r="M22" s="15" t="inlineStr"/>
      <c r="N22" s="15" t="inlineStr"/>
      <c r="O22" s="15" t="inlineStr"/>
      <c r="P22" s="14" t="inlineStr"/>
    </row>
    <row r="23" ht="90" customHeight="1">
      <c r="A23" s="11" t="inlineStr">
        <is>
          <t>USR-022</t>
        </is>
      </c>
      <c r="B23" s="12" t="inlineStr">
        <is>
          <t>Approve / Reject</t>
        </is>
      </c>
      <c r="C23" s="12" t="inlineStr">
        <is>
          <t>Reject a pending user requires confirmation and soft-deletes</t>
        </is>
      </c>
      <c r="D23" s="13" t="inlineStr">
        <is>
          <t>High</t>
        </is>
      </c>
      <c r="E23" s="12" t="inlineStr">
        <is>
          <t>Functional</t>
        </is>
      </c>
      <c r="F23" s="12" t="inlineStr">
        <is>
          <t>Admin logged in; a fresh pending user exists.</t>
        </is>
      </c>
      <c r="G23" s="12" t="inlineStr">
        <is>
          <t>1. Open /users; locate the pending user.
2. Click 'Reject'.
3. In the browser confirm() dialog, first click Cancel and verify nothing changes.
4. Click 'Reject' again and confirm OK.
5. Observe the row and the Network call.</t>
        </is>
      </c>
      <c r="H23" s="12" t="inlineStr">
        <is>
          <t>User: a pending account</t>
        </is>
      </c>
      <c r="I23" s="12" t="inlineStr">
        <is>
          <t>Cancelling the confirm() aborts (no API call). Confirming sends POST /api/users/{id}/reject -&gt; 200; user becomes is_approved=false, is_active=false. The updated user replaces the row (it remains in the list, not removed). The pending count drops by 1.</t>
        </is>
      </c>
      <c r="J23" s="12" t="inlineStr">
        <is>
          <t>POST /api/users/{id}/reject</t>
        </is>
      </c>
      <c r="K23" s="14" t="inlineStr"/>
      <c r="L23" s="15" t="inlineStr">
        <is>
          <t>Not Executed</t>
        </is>
      </c>
      <c r="M23" s="15" t="inlineStr"/>
      <c r="N23" s="15" t="inlineStr"/>
      <c r="O23" s="15" t="inlineStr"/>
      <c r="P23" s="14" t="inlineStr"/>
    </row>
    <row r="24" ht="75" customHeight="1">
      <c r="A24" s="11" t="inlineStr">
        <is>
          <t>USR-023</t>
        </is>
      </c>
      <c r="B24" s="12" t="inlineStr">
        <is>
          <t>Approve / Reject</t>
        </is>
      </c>
      <c r="C24" s="12" t="inlineStr">
        <is>
          <t>Approve already-approved user returns a handled error</t>
        </is>
      </c>
      <c r="D24" s="19" t="inlineStr">
        <is>
          <t>Medium</t>
        </is>
      </c>
      <c r="E24" s="12" t="inlineStr">
        <is>
          <t>Negative</t>
        </is>
      </c>
      <c r="F24" s="12" t="inlineStr">
        <is>
          <t>Admin logged in; have an approved user's UUID.</t>
        </is>
      </c>
      <c r="G24" s="12" t="inlineStr">
        <is>
          <t>1. Call POST /api/users/{approvedId}/approve directly (or trigger a duplicate approve race).
2. Inspect the response.
3. In UI: if reachable, confirm an alert() shows the message.</t>
        </is>
      </c>
      <c r="H24" s="12" t="inlineStr">
        <is>
          <t>Approved user UUID</t>
        </is>
      </c>
      <c r="I24" s="12" t="inlineStr">
        <is>
          <t>API returns 400 with message 'User is already approved' and error 'approve_failed'. If surfaced via UI handler, an alert() displays the server message; the list is unchanged.</t>
        </is>
      </c>
      <c r="J24" s="12" t="inlineStr">
        <is>
          <t>POST /api/users/{id}/approve</t>
        </is>
      </c>
      <c r="K24" s="14" t="inlineStr"/>
      <c r="L24" s="15" t="inlineStr">
        <is>
          <t>Not Executed</t>
        </is>
      </c>
      <c r="M24" s="15" t="inlineStr"/>
      <c r="N24" s="15" t="inlineStr"/>
      <c r="O24" s="15" t="inlineStr"/>
      <c r="P24" s="14" t="inlineStr"/>
    </row>
    <row r="25" ht="60" customHeight="1">
      <c r="A25" s="11" t="inlineStr">
        <is>
          <t>USR-024</t>
        </is>
      </c>
      <c r="B25" s="12" t="inlineStr">
        <is>
          <t>Approve / Reject</t>
        </is>
      </c>
      <c r="C25" s="12" t="inlineStr">
        <is>
          <t>Approve action failure surfaces an alert</t>
        </is>
      </c>
      <c r="D25" s="19" t="inlineStr">
        <is>
          <t>Medium</t>
        </is>
      </c>
      <c r="E25" s="12" t="inlineStr">
        <is>
          <t>Negative</t>
        </is>
      </c>
      <c r="F25" s="12" t="inlineStr">
        <is>
          <t>Admin logged in; force the approve request to 500/network-fail in DevTools.</t>
        </is>
      </c>
      <c r="G25" s="12" t="inlineStr">
        <is>
          <t>1. Open /users; on a pending row click 'Approve' while the request is forced to fail.
2. Observe the UI.</t>
        </is>
      </c>
      <c r="H25" s="12" t="inlineStr">
        <is>
          <t>N/A</t>
        </is>
      </c>
      <c r="I25" s="12" t="inlineStr">
        <is>
          <t>A browser alert() shows err.response.data.message or 'Failed to approve user'; the row stays 'Pending Approval' (no optimistic change applied on failure).</t>
        </is>
      </c>
      <c r="J25" s="12" t="inlineStr">
        <is>
          <t>POST /api/users/{id}/approve</t>
        </is>
      </c>
      <c r="K25" s="14" t="inlineStr"/>
      <c r="L25" s="15" t="inlineStr">
        <is>
          <t>Not Executed</t>
        </is>
      </c>
      <c r="M25" s="15" t="inlineStr"/>
      <c r="N25" s="15" t="inlineStr"/>
      <c r="O25" s="15" t="inlineStr"/>
      <c r="P25" s="14" t="inlineStr"/>
    </row>
    <row r="26" ht="105" customHeight="1">
      <c r="A26" s="16" t="inlineStr">
        <is>
          <t>USR-025</t>
        </is>
      </c>
      <c r="B26" s="17" t="inlineStr">
        <is>
          <t>Activate / Deactivate</t>
        </is>
      </c>
      <c r="C26" s="17" t="inlineStr">
        <is>
          <t>Deactivate an active approved user</t>
        </is>
      </c>
      <c r="D26" s="21" t="inlineStr">
        <is>
          <t>High</t>
        </is>
      </c>
      <c r="E26" s="17" t="inlineStr">
        <is>
          <t>Functional</t>
        </is>
      </c>
      <c r="F26" s="17" t="inlineStr">
        <is>
          <t>Admin logged in; rajesh.kumar is active+approved.</t>
        </is>
      </c>
      <c r="G26" s="17" t="inlineStr">
        <is>
          <t>1. Open /users; locate rajesh.kumar (status 'Active').
2. Click 'Deactivate'.
3. Observe the row and Network call.</t>
        </is>
      </c>
      <c r="H26" s="17" t="inlineStr">
        <is>
          <t>User: rajesh.kumar@saranam.in</t>
        </is>
      </c>
      <c r="I26" s="17" t="inlineStr">
        <is>
          <t>PUT /api/users/{id}/toggle-status -&gt; 200 message 'User deactivated successfully'; is_active=false. Row status becomes grey 'Inactive'; action button label flips to 'Activate' (green). No confirmation prompt is shown for deactivate (note: no confirm guard — flag if business wants one).</t>
        </is>
      </c>
      <c r="J26" s="17" t="inlineStr">
        <is>
          <t>PUT /api/users/{id}/toggle-status</t>
        </is>
      </c>
      <c r="K26" s="14" t="inlineStr"/>
      <c r="L26" s="15" t="inlineStr">
        <is>
          <t>Not Executed</t>
        </is>
      </c>
      <c r="M26" s="15" t="inlineStr"/>
      <c r="N26" s="15" t="inlineStr"/>
      <c r="O26" s="15" t="inlineStr"/>
      <c r="P26" s="14" t="inlineStr"/>
    </row>
    <row r="27" ht="60" customHeight="1">
      <c r="A27" s="16" t="inlineStr">
        <is>
          <t>USR-026</t>
        </is>
      </c>
      <c r="B27" s="17" t="inlineStr">
        <is>
          <t>Activate / Deactivate</t>
        </is>
      </c>
      <c r="C27" s="17" t="inlineStr">
        <is>
          <t>Reactivate a deactivated user</t>
        </is>
      </c>
      <c r="D27" s="21" t="inlineStr">
        <is>
          <t>High</t>
        </is>
      </c>
      <c r="E27" s="17" t="inlineStr">
        <is>
          <t>Functional</t>
        </is>
      </c>
      <c r="F27" s="17" t="inlineStr">
        <is>
          <t>Admin logged in; meena.raman is approved but inactive.</t>
        </is>
      </c>
      <c r="G27" s="17" t="inlineStr">
        <is>
          <t>1. Open /users; locate meena.raman (status 'Inactive', action 'Activate').
2. Click 'Activate'.
3. Observe the row.</t>
        </is>
      </c>
      <c r="H27" s="17" t="inlineStr">
        <is>
          <t>User: meena.raman@saranam.in</t>
        </is>
      </c>
      <c r="I27" s="17" t="inlineStr">
        <is>
          <t>PUT /api/users/{id}/toggle-status -&gt; 200 'User activated successfully'; is_active=true. Row status becomes green 'Active'; action flips to 'Deactivate'.</t>
        </is>
      </c>
      <c r="J27" s="17" t="inlineStr">
        <is>
          <t>PUT /api/users/{id}/toggle-status</t>
        </is>
      </c>
      <c r="K27" s="14" t="inlineStr"/>
      <c r="L27" s="15" t="inlineStr">
        <is>
          <t>Not Executed</t>
        </is>
      </c>
      <c r="M27" s="15" t="inlineStr"/>
      <c r="N27" s="15" t="inlineStr"/>
      <c r="O27" s="15" t="inlineStr"/>
      <c r="P27" s="14" t="inlineStr"/>
    </row>
    <row r="28" ht="60" customHeight="1">
      <c r="A28" s="16" t="inlineStr">
        <is>
          <t>USR-027</t>
        </is>
      </c>
      <c r="B28" s="17" t="inlineStr">
        <is>
          <t>Activate / Deactivate</t>
        </is>
      </c>
      <c r="C28" s="17" t="inlineStr">
        <is>
          <t>Toggle-status failure surfaces an alert and reverts UI</t>
        </is>
      </c>
      <c r="D28" s="18" t="inlineStr">
        <is>
          <t>Medium</t>
        </is>
      </c>
      <c r="E28" s="17" t="inlineStr">
        <is>
          <t>Negative</t>
        </is>
      </c>
      <c r="F28" s="17" t="inlineStr">
        <is>
          <t>Admin logged in; force toggle-status to fail.</t>
        </is>
      </c>
      <c r="G28" s="17" t="inlineStr">
        <is>
          <t>1. On an active row, click 'Deactivate' with the request forced to 500.
2. Observe.</t>
        </is>
      </c>
      <c r="H28" s="17" t="inlineStr">
        <is>
          <t>N/A</t>
        </is>
      </c>
      <c r="I28" s="17" t="inlineStr">
        <is>
          <t>alert() shows the message or 'Failed to update user status'; row status is unchanged because the list is only updated from a successful response.</t>
        </is>
      </c>
      <c r="J28" s="17" t="inlineStr">
        <is>
          <t>PUT /api/users/{id}/toggle-status</t>
        </is>
      </c>
      <c r="K28" s="14" t="inlineStr"/>
      <c r="L28" s="15" t="inlineStr">
        <is>
          <t>Not Executed</t>
        </is>
      </c>
      <c r="M28" s="15" t="inlineStr"/>
      <c r="N28" s="15" t="inlineStr"/>
      <c r="O28" s="15" t="inlineStr"/>
      <c r="P28" s="14" t="inlineStr"/>
    </row>
    <row r="29" ht="150" customHeight="1">
      <c r="A29" s="11" t="inlineStr">
        <is>
          <t>USR-028</t>
        </is>
      </c>
      <c r="B29" s="12" t="inlineStr">
        <is>
          <t>Edit User</t>
        </is>
      </c>
      <c r="C29" s="12" t="inlineStr">
        <is>
          <t>Open Edit modal — fields pre-populate from the selected user</t>
        </is>
      </c>
      <c r="D29" s="13" t="inlineStr">
        <is>
          <t>High</t>
        </is>
      </c>
      <c r="E29" s="12" t="inlineStr">
        <is>
          <t>Functional</t>
        </is>
      </c>
      <c r="F29" s="12" t="inlineStr">
        <is>
          <t>Admin logged in; an approved user exists.</t>
        </is>
      </c>
      <c r="G29" s="12" t="inlineStr">
        <is>
          <t>1. Open /users; click 'Edit' on an approved user's row.
2. Observe the modal.</t>
        </is>
      </c>
      <c r="H29" s="12" t="inlineStr">
        <is>
          <t>User: anjali.nair@saranam.in</t>
        </is>
      </c>
      <c r="I29" s="12" t="inlineStr">
        <is>
          <t>A centered modal 'Edit User' opens over a dark overlay. Full Name, Email (type=email), and Role (select: Viewer/Data Entry/Admin) are pre-filled with the user's current values. Helper text 'Admin: Full access | Data Entry: Submit forms | Viewer: View only' is shown. Buttons: Cancel and Save Changes. NOTE: only approved users expose an Edit button; pending rows show Approve/Reject instead.</t>
        </is>
      </c>
      <c r="J29" s="12" t="inlineStr">
        <is>
          <t>N/A</t>
        </is>
      </c>
      <c r="K29" s="14" t="inlineStr"/>
      <c r="L29" s="15" t="inlineStr">
        <is>
          <t>Not Executed</t>
        </is>
      </c>
      <c r="M29" s="15" t="inlineStr"/>
      <c r="N29" s="15" t="inlineStr"/>
      <c r="O29" s="15" t="inlineStr"/>
      <c r="P29" s="14" t="inlineStr"/>
    </row>
    <row r="30" ht="90" customHeight="1">
      <c r="A30" s="11" t="inlineStr">
        <is>
          <t>USR-029</t>
        </is>
      </c>
      <c r="B30" s="12" t="inlineStr">
        <is>
          <t>Edit User</t>
        </is>
      </c>
      <c r="C30" s="12" t="inlineStr">
        <is>
          <t>Edit full_name successfully</t>
        </is>
      </c>
      <c r="D30" s="13" t="inlineStr">
        <is>
          <t>High</t>
        </is>
      </c>
      <c r="E30" s="12" t="inlineStr">
        <is>
          <t>Functional</t>
        </is>
      </c>
      <c r="F30" s="12" t="inlineStr">
        <is>
          <t>Admin logged in; Edit modal open for a user.</t>
        </is>
      </c>
      <c r="G30" s="12" t="inlineStr">
        <is>
          <t>1. Change Full Name to 'Anjali R Nair'.
2. Click 'Save Changes'.
3. Observe the button state, modal close, and list.</t>
        </is>
      </c>
      <c r="H30" s="12" t="inlineStr">
        <is>
          <t>full_name = Anjali R Nair</t>
        </is>
      </c>
      <c r="I30" s="12" t="inlineStr">
        <is>
          <t>PUT /api/users/{id} body {full_name,email,role} -&gt; 200. While saving, the button reads 'Saving...' and both buttons are disabled. On success the modal closes and the list reloads (loadUsers) showing the new name.</t>
        </is>
      </c>
      <c r="J30" s="12" t="inlineStr">
        <is>
          <t>PUT /api/users/{id}</t>
        </is>
      </c>
      <c r="K30" s="14" t="inlineStr"/>
      <c r="L30" s="15" t="inlineStr">
        <is>
          <t>Not Executed</t>
        </is>
      </c>
      <c r="M30" s="15" t="inlineStr"/>
      <c r="N30" s="15" t="inlineStr"/>
      <c r="O30" s="15" t="inlineStr"/>
      <c r="P30" s="14" t="inlineStr"/>
    </row>
    <row r="31" ht="75" customHeight="1">
      <c r="A31" s="11" t="inlineStr">
        <is>
          <t>USR-030</t>
        </is>
      </c>
      <c r="B31" s="12" t="inlineStr">
        <is>
          <t>Edit User</t>
        </is>
      </c>
      <c r="C31" s="12" t="inlineStr">
        <is>
          <t>Edit email to a new unique value successfully</t>
        </is>
      </c>
      <c r="D31" s="13" t="inlineStr">
        <is>
          <t>High</t>
        </is>
      </c>
      <c r="E31" s="12" t="inlineStr">
        <is>
          <t>Functional</t>
        </is>
      </c>
      <c r="F31" s="12" t="inlineStr">
        <is>
          <t>Admin logged in; Edit modal open.</t>
        </is>
      </c>
      <c r="G31" s="12" t="inlineStr">
        <is>
          <t>1. Change Email to a new unused address.
2. Click 'Save Changes'.</t>
        </is>
      </c>
      <c r="H31" s="12" t="inlineStr">
        <is>
          <t>email = anjali.r.nair@saranam.in</t>
        </is>
      </c>
      <c r="I31" s="12" t="inlineStr">
        <is>
          <t>PUT /api/users/{id} -&gt; 200; email updated. Modal closes; list shows the new email. (Side note: changing a user's email does NOT log them out or invalidate existing tokens.)</t>
        </is>
      </c>
      <c r="J31" s="12" t="inlineStr">
        <is>
          <t>PUT /api/users/{id}</t>
        </is>
      </c>
      <c r="K31" s="14" t="inlineStr"/>
      <c r="L31" s="15" t="inlineStr">
        <is>
          <t>Not Executed</t>
        </is>
      </c>
      <c r="M31" s="15" t="inlineStr"/>
      <c r="N31" s="15" t="inlineStr"/>
      <c r="O31" s="15" t="inlineStr"/>
      <c r="P31" s="14" t="inlineStr"/>
    </row>
    <row r="32" ht="120" customHeight="1">
      <c r="A32" s="11" t="inlineStr">
        <is>
          <t>USR-031</t>
        </is>
      </c>
      <c r="B32" s="12" t="inlineStr">
        <is>
          <t>Edit User</t>
        </is>
      </c>
      <c r="C32" s="12" t="inlineStr">
        <is>
          <t>Change a user's role and verify access changes (promote to admin)</t>
        </is>
      </c>
      <c r="D32" s="13" t="inlineStr">
        <is>
          <t>High</t>
        </is>
      </c>
      <c r="E32" s="12" t="inlineStr">
        <is>
          <t>Data Integrity</t>
        </is>
      </c>
      <c r="F32" s="12" t="inlineStr">
        <is>
          <t>Admin logged in; data_entry user rajesh.kumar exists and can currently log in.</t>
        </is>
      </c>
      <c r="G32" s="12" t="inlineStr">
        <is>
          <t>1. Edit rajesh.kumar; change Role to Admin; Save.
2. Log out; log in as rajesh.kumar.
3. Confirm the 'Users' and 'Call Logs' items now appear and /users is accessible.
4. (Then revert role to data_entry for cleanup.)</t>
        </is>
      </c>
      <c r="H32" s="12" t="inlineStr">
        <is>
          <t>role: data_entry -&gt; admin</t>
        </is>
      </c>
      <c r="I32" s="12" t="inlineStr">
        <is>
          <t>PUT /api/users/{id} role=admin -&gt; 200. After re-login (token must be refreshed to carry the new role claim) the user gains manage_users: sees Users + Call Logs in sidebar and can open /users. Confirms role-to-permission integrity. IMPORTANT: an EXISTING session keeps its old role claim until the token is refreshed/re-login.</t>
        </is>
      </c>
      <c r="J32" s="12" t="inlineStr">
        <is>
          <t>PUT /api/users/{id}</t>
        </is>
      </c>
      <c r="K32" s="14" t="inlineStr"/>
      <c r="L32" s="15" t="inlineStr">
        <is>
          <t>Not Executed</t>
        </is>
      </c>
      <c r="M32" s="15" t="inlineStr"/>
      <c r="N32" s="15" t="inlineStr"/>
      <c r="O32" s="15" t="inlineStr"/>
      <c r="P32" s="14" t="inlineStr"/>
    </row>
    <row r="33" ht="75" customHeight="1">
      <c r="A33" s="11" t="inlineStr">
        <is>
          <t>USR-032</t>
        </is>
      </c>
      <c r="B33" s="12" t="inlineStr">
        <is>
          <t>Edit User</t>
        </is>
      </c>
      <c r="C33" s="12" t="inlineStr">
        <is>
          <t>Demote an admin and verify loss of access</t>
        </is>
      </c>
      <c r="D33" s="13" t="inlineStr">
        <is>
          <t>High</t>
        </is>
      </c>
      <c r="E33" s="12" t="inlineStr">
        <is>
          <t>Data Integrity</t>
        </is>
      </c>
      <c r="F33" s="12" t="inlineStr">
        <is>
          <t>Admin logged in; a second admin (admin2_qa) exists to be demoted.</t>
        </is>
      </c>
      <c r="G33" s="12" t="inlineStr">
        <is>
          <t>1. Edit admin2_qa; change Role to Viewer; Save.
2. Log out; log in as admin2_qa.
3. Confirm 'Users' sidebar item is gone and /users shows 'Access Denied'.
4. Confirm Users API returns 403 for this user.</t>
        </is>
      </c>
      <c r="H33" s="12" t="inlineStr">
        <is>
          <t>role: admin -&gt; viewer</t>
        </is>
      </c>
      <c r="I33" s="12" t="inlineStr">
        <is>
          <t>After re-login admin2_qa loses manage_users: no Users item, /users denied, API 403. Confirms demotion revokes access.</t>
        </is>
      </c>
      <c r="J33" s="12" t="inlineStr">
        <is>
          <t>PUT /api/users/{id}</t>
        </is>
      </c>
      <c r="K33" s="14" t="inlineStr"/>
      <c r="L33" s="15" t="inlineStr">
        <is>
          <t>Not Executed</t>
        </is>
      </c>
      <c r="M33" s="15" t="inlineStr"/>
      <c r="N33" s="15" t="inlineStr"/>
      <c r="O33" s="15" t="inlineStr"/>
      <c r="P33" s="14" t="inlineStr"/>
    </row>
    <row r="34" ht="75" customHeight="1">
      <c r="A34" s="11" t="inlineStr">
        <is>
          <t>USR-033</t>
        </is>
      </c>
      <c r="B34" s="12" t="inlineStr">
        <is>
          <t>Edit User</t>
        </is>
      </c>
      <c r="C34" s="12" t="inlineStr">
        <is>
          <t>Edit validation — Full Name required and minLength 2</t>
        </is>
      </c>
      <c r="D34" s="13" t="inlineStr">
        <is>
          <t>High</t>
        </is>
      </c>
      <c r="E34" s="12" t="inlineStr">
        <is>
          <t>Validation</t>
        </is>
      </c>
      <c r="F34" s="12" t="inlineStr">
        <is>
          <t>Admin logged in; Edit modal open.</t>
        </is>
      </c>
      <c r="G34" s="12" t="inlineStr">
        <is>
          <t>1. Clear Full Name and click Save -&gt; observe browser 'required' prompt.
2. Enter a single character 'A' and click Save -&gt; observe minLength prompt.
3. Verify no API call is sent while invalid.</t>
        </is>
      </c>
      <c r="H34" s="12" t="inlineStr">
        <is>
          <t>full_name = '' then 'A'</t>
        </is>
      </c>
      <c r="I34" s="12" t="inlineStr">
        <is>
          <t>HTML5 validation blocks submit: empty triggers required; single char triggers minLength=2. No PUT is sent until full_name has &gt;=2 chars. (Backend also enforces len&gt;=2 via UpdateUserSchema as defence-in-depth.)</t>
        </is>
      </c>
      <c r="J34" s="12" t="inlineStr">
        <is>
          <t>PUT /api/users/{id}</t>
        </is>
      </c>
      <c r="K34" s="14" t="inlineStr"/>
      <c r="L34" s="15" t="inlineStr">
        <is>
          <t>Not Executed</t>
        </is>
      </c>
      <c r="M34" s="15" t="inlineStr"/>
      <c r="N34" s="15" t="inlineStr"/>
      <c r="O34" s="15" t="inlineStr"/>
      <c r="P34" s="14" t="inlineStr"/>
    </row>
    <row r="35" ht="75" customHeight="1">
      <c r="A35" s="11" t="inlineStr">
        <is>
          <t>USR-034</t>
        </is>
      </c>
      <c r="B35" s="12" t="inlineStr">
        <is>
          <t>Edit User</t>
        </is>
      </c>
      <c r="C35" s="12" t="inlineStr">
        <is>
          <t>Edit validation — Email required and must be a valid format</t>
        </is>
      </c>
      <c r="D35" s="13" t="inlineStr">
        <is>
          <t>High</t>
        </is>
      </c>
      <c r="E35" s="12" t="inlineStr">
        <is>
          <t>Validation</t>
        </is>
      </c>
      <c r="F35" s="12" t="inlineStr">
        <is>
          <t>Admin logged in; Edit modal open.</t>
        </is>
      </c>
      <c r="G35" s="12" t="inlineStr">
        <is>
          <t>1. Clear Email; Save -&gt; required prompt.
2. Enter 'not-an-email'; Save -&gt; type=email format prompt.
3. Enter 'foo@'; Save -&gt; still invalid.</t>
        </is>
      </c>
      <c r="H35" s="12" t="inlineStr">
        <is>
          <t>email = '', 'not-an-email', 'foo@'</t>
        </is>
      </c>
      <c r="I35" s="12" t="inlineStr">
        <is>
          <t>type=email + required block submission for empty/invalid values; no PUT sent. Backend fields.Email() also rejects invalid emails with 400 'Validation error' if the client check is bypassed.</t>
        </is>
      </c>
      <c r="J35" s="12" t="inlineStr">
        <is>
          <t>PUT /api/users/{id}</t>
        </is>
      </c>
      <c r="K35" s="14" t="inlineStr"/>
      <c r="L35" s="15" t="inlineStr">
        <is>
          <t>Not Executed</t>
        </is>
      </c>
      <c r="M35" s="15" t="inlineStr"/>
      <c r="N35" s="15" t="inlineStr"/>
      <c r="O35" s="15" t="inlineStr"/>
      <c r="P35" s="14" t="inlineStr"/>
    </row>
    <row r="36" ht="75" customHeight="1">
      <c r="A36" s="11" t="inlineStr">
        <is>
          <t>USR-035</t>
        </is>
      </c>
      <c r="B36" s="12" t="inlineStr">
        <is>
          <t>Edit User</t>
        </is>
      </c>
      <c r="C36" s="12" t="inlineStr">
        <is>
          <t>Edit to a duplicate email is rejected by the server</t>
        </is>
      </c>
      <c r="D36" s="13" t="inlineStr">
        <is>
          <t>High</t>
        </is>
      </c>
      <c r="E36" s="12" t="inlineStr">
        <is>
          <t>Negative</t>
        </is>
      </c>
      <c r="F36" s="12" t="inlineStr">
        <is>
          <t>Admin logged in; two users exist; one has rajesh.kumar@saranam.in.</t>
        </is>
      </c>
      <c r="G36" s="12" t="inlineStr">
        <is>
          <t>1. Edit a DIFFERENT user; change Email to rajesh.kumar@saranam.in (already in use).
2. Click Save.
3. Observe the modal.</t>
        </is>
      </c>
      <c r="H36" s="12" t="inlineStr">
        <is>
          <t>email = rajesh.kumar@saranam.in (existing)</t>
        </is>
      </c>
      <c r="I36" s="12" t="inlineStr">
        <is>
          <t>PUT /api/users/{id} -&gt; 400 message 'Email already in use' (error 'update_failed'). The modal stays open and shows the red alert with that message; the user is NOT updated.</t>
        </is>
      </c>
      <c r="J36" s="12" t="inlineStr">
        <is>
          <t>PUT /api/users/{id}</t>
        </is>
      </c>
      <c r="K36" s="14" t="inlineStr"/>
      <c r="L36" s="15" t="inlineStr">
        <is>
          <t>Not Executed</t>
        </is>
      </c>
      <c r="M36" s="15" t="inlineStr"/>
      <c r="N36" s="15" t="inlineStr"/>
      <c r="O36" s="15" t="inlineStr"/>
      <c r="P36" s="14" t="inlineStr"/>
    </row>
    <row r="37" ht="60" customHeight="1">
      <c r="A37" s="11" t="inlineStr">
        <is>
          <t>USR-036</t>
        </is>
      </c>
      <c r="B37" s="12" t="inlineStr">
        <is>
          <t>Edit User</t>
        </is>
      </c>
      <c r="C37" s="12" t="inlineStr">
        <is>
          <t>Setting email to the same value (unchanged) saves without duplicate error</t>
        </is>
      </c>
      <c r="D37" s="20" t="inlineStr">
        <is>
          <t>Low</t>
        </is>
      </c>
      <c r="E37" s="12" t="inlineStr">
        <is>
          <t>Edge Case</t>
        </is>
      </c>
      <c r="F37" s="12" t="inlineStr">
        <is>
          <t>Admin logged in; Edit modal open.</t>
        </is>
      </c>
      <c r="G37" s="12" t="inlineStr">
        <is>
          <t>1. Leave Email unchanged; change only Full Name; Save.</t>
        </is>
      </c>
      <c r="H37" s="12" t="inlineStr">
        <is>
          <t>email unchanged</t>
        </is>
      </c>
      <c r="I37" s="12" t="inlineStr">
        <is>
          <t>Server only runs the uniqueness check when email != current email, so an unchanged email saves successfully (200). No false 'Email already in use'.</t>
        </is>
      </c>
      <c r="J37" s="12" t="inlineStr">
        <is>
          <t>PUT /api/users/{id}</t>
        </is>
      </c>
      <c r="K37" s="14" t="inlineStr"/>
      <c r="L37" s="15" t="inlineStr">
        <is>
          <t>Not Executed</t>
        </is>
      </c>
      <c r="M37" s="15" t="inlineStr"/>
      <c r="N37" s="15" t="inlineStr"/>
      <c r="O37" s="15" t="inlineStr"/>
      <c r="P37" s="14" t="inlineStr"/>
    </row>
    <row r="38" ht="105" customHeight="1">
      <c r="A38" s="11" t="inlineStr">
        <is>
          <t>USR-037</t>
        </is>
      </c>
      <c r="B38" s="12" t="inlineStr">
        <is>
          <t>Edit User</t>
        </is>
      </c>
      <c r="C38" s="12" t="inlineStr">
        <is>
          <t>Cancel and X-close discard edits without saving</t>
        </is>
      </c>
      <c r="D38" s="19" t="inlineStr">
        <is>
          <t>Medium</t>
        </is>
      </c>
      <c r="E38" s="12" t="inlineStr">
        <is>
          <t>Functional</t>
        </is>
      </c>
      <c r="F38" s="12" t="inlineStr">
        <is>
          <t>Admin logged in; Edit modal open.</t>
        </is>
      </c>
      <c r="G38" s="12" t="inlineStr">
        <is>
          <t>1. Change Full Name to a new value.
2. Click 'Cancel' -&gt; modal closes; verify list unchanged.
3. Re-open Edit, change a field, click the top-right X -&gt; modal closes; verify list unchanged.
4. Confirm no PUT request was sent in either case.</t>
        </is>
      </c>
      <c r="H38" s="12" t="inlineStr">
        <is>
          <t>Any edited value not saved</t>
        </is>
      </c>
      <c r="I38" s="12" t="inlineStr">
        <is>
          <t>Both Cancel and X close the modal (onClose) and DISCARD changes — no PUT call, list values unchanged. Buttons are disabled while a save is in flight.</t>
        </is>
      </c>
      <c r="J38" s="12" t="inlineStr">
        <is>
          <t>N/A</t>
        </is>
      </c>
      <c r="K38" s="14" t="inlineStr"/>
      <c r="L38" s="15" t="inlineStr">
        <is>
          <t>Not Executed</t>
        </is>
      </c>
      <c r="M38" s="15" t="inlineStr"/>
      <c r="N38" s="15" t="inlineStr"/>
      <c r="O38" s="15" t="inlineStr"/>
      <c r="P38" s="14" t="inlineStr"/>
    </row>
    <row r="39" ht="75" customHeight="1">
      <c r="A39" s="11" t="inlineStr">
        <is>
          <t>USR-038</t>
        </is>
      </c>
      <c r="B39" s="12" t="inlineStr">
        <is>
          <t>Edit User</t>
        </is>
      </c>
      <c r="C39" s="12" t="inlineStr">
        <is>
          <t>Edit save failure (500/network) shows in-modal error and keeps modal open</t>
        </is>
      </c>
      <c r="D39" s="19" t="inlineStr">
        <is>
          <t>Medium</t>
        </is>
      </c>
      <c r="E39" s="12" t="inlineStr">
        <is>
          <t>Negative</t>
        </is>
      </c>
      <c r="F39" s="12" t="inlineStr">
        <is>
          <t>Admin logged in; Edit modal open; force PUT /api/users/{id} to 500.</t>
        </is>
      </c>
      <c r="G39" s="12" t="inlineStr">
        <is>
          <t>1. Change a field; click Save with the request forced to fail.
2. Observe the modal.</t>
        </is>
      </c>
      <c r="H39" s="12" t="inlineStr">
        <is>
          <t>N/A</t>
        </is>
      </c>
      <c r="I39" s="12" t="inlineStr">
        <is>
          <t>The modal stays open, isLoading resets (button back to 'Save Changes'), and a red alert shows err.response.data.message or 'Failed to update user'. No list reload occurs.</t>
        </is>
      </c>
      <c r="J39" s="12" t="inlineStr">
        <is>
          <t>PUT /api/users/{id}</t>
        </is>
      </c>
      <c r="K39" s="14" t="inlineStr"/>
      <c r="L39" s="15" t="inlineStr">
        <is>
          <t>Not Executed</t>
        </is>
      </c>
      <c r="M39" s="15" t="inlineStr"/>
      <c r="N39" s="15" t="inlineStr"/>
      <c r="O39" s="15" t="inlineStr"/>
      <c r="P39" s="14" t="inlineStr"/>
    </row>
    <row r="40" ht="105" customHeight="1">
      <c r="A40" s="11" t="inlineStr">
        <is>
          <t>USR-039</t>
        </is>
      </c>
      <c r="B40" s="12" t="inlineStr">
        <is>
          <t>Edit User</t>
        </is>
      </c>
      <c r="C40" s="12" t="inlineStr">
        <is>
          <t>Invalid role rejected at API level (defence-in-depth)</t>
        </is>
      </c>
      <c r="D40" s="19" t="inlineStr">
        <is>
          <t>Medium</t>
        </is>
      </c>
      <c r="E40" s="12" t="inlineStr">
        <is>
          <t>Negative</t>
        </is>
      </c>
      <c r="F40" s="12" t="inlineStr">
        <is>
          <t>Admin token available; a target user UUID.</t>
        </is>
      </c>
      <c r="G40" s="12" t="inlineStr">
        <is>
          <t>1. Call PUT /api/users/{id} with body {"role":"superuser"} (a value not in the UI dropdown).
2. Inspect the response.</t>
        </is>
      </c>
      <c r="H40" s="12" t="inlineStr">
        <is>
          <t>role = superuser</t>
        </is>
      </c>
      <c r="I40" s="12" t="inlineStr">
        <is>
          <t>Returns 400 'Validation error' (UpdateUserSchema role validator x in [admin,data_entry,viewer] fails) — the service-level 'Invalid role' path is effectively guarded by the schema first. The user's role is NOT changed. The UI dropdown only offers the three valid roles so this is API-only.</t>
        </is>
      </c>
      <c r="J40" s="12" t="inlineStr">
        <is>
          <t>PUT /api/users/{id}</t>
        </is>
      </c>
      <c r="K40" s="14" t="inlineStr"/>
      <c r="L40" s="15" t="inlineStr">
        <is>
          <t>Not Executed</t>
        </is>
      </c>
      <c r="M40" s="15" t="inlineStr"/>
      <c r="N40" s="15" t="inlineStr"/>
      <c r="O40" s="15" t="inlineStr"/>
      <c r="P40" s="14" t="inlineStr"/>
    </row>
    <row r="41" ht="120" customHeight="1">
      <c r="A41" s="11" t="inlineStr">
        <is>
          <t>USR-040</t>
        </is>
      </c>
      <c r="B41" s="12" t="inlineStr">
        <is>
          <t>Edit User</t>
        </is>
      </c>
      <c r="C41" s="12" t="inlineStr">
        <is>
          <t>Very long and special-character inputs in name/email</t>
        </is>
      </c>
      <c r="D41" s="20" t="inlineStr">
        <is>
          <t>Low</t>
        </is>
      </c>
      <c r="E41" s="12" t="inlineStr">
        <is>
          <t>Edge Case</t>
        </is>
      </c>
      <c r="F41" s="12" t="inlineStr">
        <is>
          <t>Admin logged in; Edit modal open.</t>
        </is>
      </c>
      <c r="G41" s="12" t="inlineStr">
        <is>
          <t>1. Enter a 300+ char Full Name (exceeds DB column 255) and Save; observe.
2. Enter a name with unicode/emoji e.g. 'Rao 😀 &lt;script&gt;'; Save; observe.
3. Enter a 260+ char email and Save; observe.</t>
        </is>
      </c>
      <c r="H41" s="12" t="inlineStr">
        <is>
          <t>300-char name; 'Rao 😀 &lt;script&gt;'; 260-char email</t>
        </is>
      </c>
      <c r="I41" s="12" t="inlineStr">
        <is>
          <t>Inputs over the 255-char DB limit should be rejected/handled (expected 400/500 from DB length, not a silent truncation or crash). Unicode is accepted and rendered safely (no script execution / escaped in the table). Document any uncaught 500 as a defect — there is no max-length client validation on these fields.</t>
        </is>
      </c>
      <c r="J41" s="12" t="inlineStr">
        <is>
          <t>PUT /api/users/{id}</t>
        </is>
      </c>
      <c r="K41" s="14" t="inlineStr"/>
      <c r="L41" s="15" t="inlineStr">
        <is>
          <t>Not Executed</t>
        </is>
      </c>
      <c r="M41" s="15" t="inlineStr"/>
      <c r="N41" s="15" t="inlineStr"/>
      <c r="O41" s="15" t="inlineStr"/>
      <c r="P41" s="14" t="inlineStr"/>
    </row>
    <row r="42" ht="90" customHeight="1">
      <c r="A42" s="11" t="inlineStr">
        <is>
          <t>USR-041</t>
        </is>
      </c>
      <c r="B42" s="12" t="inlineStr">
        <is>
          <t>Edit User</t>
        </is>
      </c>
      <c r="C42" s="12" t="inlineStr">
        <is>
          <t>API request payload contains exactly full_name, email, role</t>
        </is>
      </c>
      <c r="D42" s="19" t="inlineStr">
        <is>
          <t>Medium</t>
        </is>
      </c>
      <c r="E42" s="12" t="inlineStr">
        <is>
          <t>API</t>
        </is>
      </c>
      <c r="F42" s="12" t="inlineStr">
        <is>
          <t>Admin logged in; Edit modal open; DevTools Network open.</t>
        </is>
      </c>
      <c r="G42" s="12" t="inlineStr">
        <is>
          <t>1. Change Role to Data Entry; Save.
2. Inspect the PUT request payload and response in Network.</t>
        </is>
      </c>
      <c r="H42" s="12" t="inlineStr">
        <is>
          <t>role = data_entry</t>
        </is>
      </c>
      <c r="I42" s="12" t="inlineStr">
        <is>
          <t>Request: PUT /api/users/{id} with JSON body {full_name, email, role} (no extra fields, no password). Authorization Bearer header present. Response 200 {user, message:'User updated successfully'} with role=data_entry.</t>
        </is>
      </c>
      <c r="J42" s="12" t="inlineStr">
        <is>
          <t>PUT /api/users/{id}</t>
        </is>
      </c>
      <c r="K42" s="14" t="inlineStr"/>
      <c r="L42" s="15" t="inlineStr">
        <is>
          <t>Not Executed</t>
        </is>
      </c>
      <c r="M42" s="15" t="inlineStr"/>
      <c r="N42" s="15" t="inlineStr"/>
      <c r="O42" s="15" t="inlineStr"/>
      <c r="P42" s="14" t="inlineStr"/>
    </row>
    <row r="43" ht="75" customHeight="1">
      <c r="A43" s="16" t="inlineStr">
        <is>
          <t>USR-042</t>
        </is>
      </c>
      <c r="B43" s="17" t="inlineStr">
        <is>
          <t>Role &amp; Permission Integrity</t>
        </is>
      </c>
      <c r="C43" s="17" t="inlineStr">
        <is>
          <t>Deactivated user cannot log in</t>
        </is>
      </c>
      <c r="D43" s="21" t="inlineStr">
        <is>
          <t>High</t>
        </is>
      </c>
      <c r="E43" s="17" t="inlineStr">
        <is>
          <t>Data Integrity</t>
        </is>
      </c>
      <c r="F43" s="17" t="inlineStr">
        <is>
          <t>User account exists and is then deactivated by an admin (USR-025).</t>
        </is>
      </c>
      <c r="G43" s="17" t="inlineStr">
        <is>
          <t>1. As admin, deactivate a known user (is_active=false).
2. Log out; attempt to log in as that user with correct credentials.
3. Observe the login response.</t>
        </is>
      </c>
      <c r="H43" s="17" t="inlineStr">
        <is>
          <t>Deactivated user credentials</t>
        </is>
      </c>
      <c r="I43" s="17" t="inlineStr">
        <is>
          <t>POST /api/auth/login -&gt; 401 with message 'Your account has been deactivated. Please contact the administrator.' Login is refused even with the correct password.</t>
        </is>
      </c>
      <c r="J43" s="17" t="inlineStr">
        <is>
          <t>POST /api/auth/login</t>
        </is>
      </c>
      <c r="K43" s="14" t="inlineStr"/>
      <c r="L43" s="15" t="inlineStr">
        <is>
          <t>Not Executed</t>
        </is>
      </c>
      <c r="M43" s="15" t="inlineStr"/>
      <c r="N43" s="15" t="inlineStr"/>
      <c r="O43" s="15" t="inlineStr"/>
      <c r="P43" s="14" t="inlineStr"/>
    </row>
    <row r="44" ht="60" customHeight="1">
      <c r="A44" s="16" t="inlineStr">
        <is>
          <t>USR-043</t>
        </is>
      </c>
      <c r="B44" s="17" t="inlineStr">
        <is>
          <t>Role &amp; Permission Integrity</t>
        </is>
      </c>
      <c r="C44" s="17" t="inlineStr">
        <is>
          <t>Pending (unapproved) user cannot log in</t>
        </is>
      </c>
      <c r="D44" s="21" t="inlineStr">
        <is>
          <t>High</t>
        </is>
      </c>
      <c r="E44" s="17" t="inlineStr">
        <is>
          <t>Data Integrity</t>
        </is>
      </c>
      <c r="F44" s="17" t="inlineStr">
        <is>
          <t>A self-registered user that has not been approved (priya.menon).</t>
        </is>
      </c>
      <c r="G44" s="17" t="inlineStr">
        <is>
          <t>1. Attempt to log in as priya.menon with correct credentials before approval.
2. Observe the response.</t>
        </is>
      </c>
      <c r="H44" s="17" t="inlineStr">
        <is>
          <t>priya.menon@saranam.in / Pend@1234</t>
        </is>
      </c>
      <c r="I44" s="17" t="inlineStr">
        <is>
          <t>POST /api/auth/login -&gt; 401 'Your account is pending admin approval. Please contact the administrator.' After USR-021 approval the same login succeeds.</t>
        </is>
      </c>
      <c r="J44" s="17" t="inlineStr">
        <is>
          <t>POST /api/auth/login</t>
        </is>
      </c>
      <c r="K44" s="14" t="inlineStr"/>
      <c r="L44" s="15" t="inlineStr">
        <is>
          <t>Not Executed</t>
        </is>
      </c>
      <c r="M44" s="15" t="inlineStr"/>
      <c r="N44" s="15" t="inlineStr"/>
      <c r="O44" s="15" t="inlineStr"/>
      <c r="P44" s="14" t="inlineStr"/>
    </row>
    <row r="45" ht="105" customHeight="1">
      <c r="A45" s="16" t="inlineStr">
        <is>
          <t>USR-044</t>
        </is>
      </c>
      <c r="B45" s="17" t="inlineStr">
        <is>
          <t>Role &amp; Permission Integrity</t>
        </is>
      </c>
      <c r="C45" s="17" t="inlineStr">
        <is>
          <t>Rejected user cannot log in and remains visible to admin</t>
        </is>
      </c>
      <c r="D45" s="18" t="inlineStr">
        <is>
          <t>Medium</t>
        </is>
      </c>
      <c r="E45" s="17" t="inlineStr">
        <is>
          <t>Data Integrity</t>
        </is>
      </c>
      <c r="F45" s="17" t="inlineStr">
        <is>
          <t>A user rejected via USR-022 (is_approved=false, is_active=false).</t>
        </is>
      </c>
      <c r="G45" s="17" t="inlineStr">
        <is>
          <t>1. Attempt to log in as the rejected user.
2. As admin, confirm the user still appears in the list.</t>
        </is>
      </c>
      <c r="H45" s="17" t="inlineStr">
        <is>
          <t>Rejected user credentials</t>
        </is>
      </c>
      <c r="I45" s="17" t="inlineStr">
        <is>
          <t>Login -&gt; 401 (deactivated message takes effect since is_active=false is checked; note is_approved=false would also block). The user is NOT deleted — they remain in the admin list (soft delete), and can be re-approved via Approve which sets both flags true.</t>
        </is>
      </c>
      <c r="J45" s="17" t="inlineStr">
        <is>
          <t>POST /api/auth/login</t>
        </is>
      </c>
      <c r="K45" s="14" t="inlineStr"/>
      <c r="L45" s="15" t="inlineStr">
        <is>
          <t>Not Executed</t>
        </is>
      </c>
      <c r="M45" s="15" t="inlineStr"/>
      <c r="N45" s="15" t="inlineStr"/>
      <c r="O45" s="15" t="inlineStr"/>
      <c r="P45" s="14" t="inlineStr"/>
    </row>
    <row r="46" ht="60" customHeight="1">
      <c r="A46" s="16" t="inlineStr">
        <is>
          <t>USR-045</t>
        </is>
      </c>
      <c r="B46" s="17" t="inlineStr">
        <is>
          <t>Role &amp; Permission Integrity</t>
        </is>
      </c>
      <c r="C46" s="17" t="inlineStr">
        <is>
          <t>Re-approving a rejected user restores access</t>
        </is>
      </c>
      <c r="D46" s="18" t="inlineStr">
        <is>
          <t>Medium</t>
        </is>
      </c>
      <c r="E46" s="17" t="inlineStr">
        <is>
          <t>Data Integrity</t>
        </is>
      </c>
      <c r="F46" s="17" t="inlineStr">
        <is>
          <t>Admin logged in; a rejected user exists.</t>
        </is>
      </c>
      <c r="G46" s="17" t="inlineStr">
        <is>
          <t>1. Filter the list to 'Pending Approval' (rejected users appear here too).
2. Click 'Approve' on the rejected user.
3. Then log in as that user.</t>
        </is>
      </c>
      <c r="H46" s="17" t="inlineStr">
        <is>
          <t>Rejected user</t>
        </is>
      </c>
      <c r="I46" s="17" t="inlineStr">
        <is>
          <t>approve_user sets is_approved=true and is_active=true; the user can now log in. Confirms reject is reversible.</t>
        </is>
      </c>
      <c r="J46" s="17" t="inlineStr">
        <is>
          <t>POST /api/users/{id}/approve, POST /api/auth/login</t>
        </is>
      </c>
      <c r="K46" s="14" t="inlineStr"/>
      <c r="L46" s="15" t="inlineStr">
        <is>
          <t>Not Executed</t>
        </is>
      </c>
      <c r="M46" s="15" t="inlineStr"/>
      <c r="N46" s="15" t="inlineStr"/>
      <c r="O46" s="15" t="inlineStr"/>
      <c r="P46" s="14" t="inlineStr"/>
    </row>
    <row r="47" ht="150" customHeight="1">
      <c r="A47" s="11" t="inlineStr">
        <is>
          <t>USR-046</t>
        </is>
      </c>
      <c r="B47" s="12" t="inlineStr">
        <is>
          <t>Security / Self-Protection</t>
        </is>
      </c>
      <c r="C47" s="12" t="inlineStr">
        <is>
          <t>Admin deactivating their own account (no self-guard) — session effect</t>
        </is>
      </c>
      <c r="D47" s="13" t="inlineStr">
        <is>
          <t>High</t>
        </is>
      </c>
      <c r="E47" s="12" t="inlineStr">
        <is>
          <t>Edge Case</t>
        </is>
      </c>
      <c r="F47" s="12" t="inlineStr">
        <is>
          <t>Logged in as admin_qa, with a SECOND admin available for recovery.</t>
        </is>
      </c>
      <c r="G47" s="12" t="inlineStr">
        <is>
          <t>1. As admin_qa, find your own row in /users.
2. Click 'Deactivate' on yourself; observe response.
3. Attempt to keep using the app, then log out and try to log back in.</t>
        </is>
      </c>
      <c r="H47" s="12" t="inlineStr">
        <is>
          <t>Self: admin_qa@saranam.in</t>
        </is>
      </c>
      <c r="I47" s="12" t="inlineStr">
        <is>
          <t>DEFECT CANDIDATE: backend has NO guard preventing self-deactivation — the toggle succeeds (200, is_active=false). The current access token still works until expiry/refresh, but on next refresh (refresh_access_token checks is_active) and on re-login the admin is locked out with 'account deactivated'. Recovery requires the second admin to reactivate. Verify whether business expects self-deactivation to be blocked.</t>
        </is>
      </c>
      <c r="J47" s="12" t="inlineStr">
        <is>
          <t>PUT /api/users/{id}/toggle-status</t>
        </is>
      </c>
      <c r="K47" s="14" t="inlineStr"/>
      <c r="L47" s="15" t="inlineStr">
        <is>
          <t>Not Executed</t>
        </is>
      </c>
      <c r="M47" s="15" t="inlineStr"/>
      <c r="N47" s="15" t="inlineStr"/>
      <c r="O47" s="15" t="inlineStr"/>
      <c r="P47" s="14" t="inlineStr"/>
    </row>
    <row r="48" ht="120" customHeight="1">
      <c r="A48" s="11" t="inlineStr">
        <is>
          <t>USR-047</t>
        </is>
      </c>
      <c r="B48" s="12" t="inlineStr">
        <is>
          <t>Security / Self-Protection</t>
        </is>
      </c>
      <c r="C48" s="12" t="inlineStr">
        <is>
          <t>Admin demoting their own role (no self-guard / no last-admin protection)</t>
        </is>
      </c>
      <c r="D48" s="13" t="inlineStr">
        <is>
          <t>High</t>
        </is>
      </c>
      <c r="E48" s="12" t="inlineStr">
        <is>
          <t>Edge Case</t>
        </is>
      </c>
      <c r="F48" s="12" t="inlineStr">
        <is>
          <t>Logged in as admin; a second admin exists for recovery.</t>
        </is>
      </c>
      <c r="G48" s="12" t="inlineStr">
        <is>
          <t>1. Edit your own row; change Role to Viewer; Save.
2. Refresh token / re-login and attempt to open /users.</t>
        </is>
      </c>
      <c r="H48" s="12" t="inlineStr">
        <is>
          <t>Self role: admin -&gt; viewer</t>
        </is>
      </c>
      <c r="I48" s="12" t="inlineStr">
        <is>
          <t>DEFECT CANDIDATE: no guard blocks self-demotion or demotion of the LAST admin. The PUT succeeds; after re-login the (now viewer) account loses Users access. If they were the only admin, the system could be left with NO admin. Recommend a backend guard preventing demotion/deactivation of the last active admin. Record as a finding.</t>
        </is>
      </c>
      <c r="J48" s="12" t="inlineStr">
        <is>
          <t>PUT /api/users/{id}</t>
        </is>
      </c>
      <c r="K48" s="14" t="inlineStr"/>
      <c r="L48" s="15" t="inlineStr">
        <is>
          <t>Not Executed</t>
        </is>
      </c>
      <c r="M48" s="15" t="inlineStr"/>
      <c r="N48" s="15" t="inlineStr"/>
      <c r="O48" s="15" t="inlineStr"/>
      <c r="P48" s="14" t="inlineStr"/>
    </row>
    <row r="49" ht="105" customHeight="1">
      <c r="A49" s="16" t="inlineStr">
        <is>
          <t>USR-048</t>
        </is>
      </c>
      <c r="B49" s="17" t="inlineStr">
        <is>
          <t>API &amp; Data Integrity</t>
        </is>
      </c>
      <c r="C49" s="17" t="inlineStr">
        <is>
          <t>GET /api/users response shape and excluded sensitive fields</t>
        </is>
      </c>
      <c r="D49" s="18" t="inlineStr">
        <is>
          <t>Medium</t>
        </is>
      </c>
      <c r="E49" s="17" t="inlineStr">
        <is>
          <t>API</t>
        </is>
      </c>
      <c r="F49" s="17" t="inlineStr">
        <is>
          <t>Admin token; DevTools/Network open.</t>
        </is>
      </c>
      <c r="G49" s="17" t="inlineStr">
        <is>
          <t>1. Trigger GET /api/users (load /users).
2. Inspect the JSON response.</t>
        </is>
      </c>
      <c r="H49" s="17" t="inlineStr">
        <is>
          <t>N/A</t>
        </is>
      </c>
      <c r="I49" s="17" t="inlineStr">
        <is>
          <t>Response: {users:[...], total, page (1), per_page (50), message}. Each user object EXCLUDES password_hash and api_key_hash (to_dict strips them) and includes id, email, full_name, role, is_active, is_approved, created_at, updated_at. Confirm no password/hash leakage.</t>
        </is>
      </c>
      <c r="J49" s="17" t="inlineStr">
        <is>
          <t>GET /api/users</t>
        </is>
      </c>
      <c r="K49" s="14" t="inlineStr"/>
      <c r="L49" s="15" t="inlineStr">
        <is>
          <t>Not Executed</t>
        </is>
      </c>
      <c r="M49" s="15" t="inlineStr"/>
      <c r="N49" s="15" t="inlineStr"/>
      <c r="O49" s="15" t="inlineStr"/>
      <c r="P49" s="14" t="inlineStr"/>
    </row>
    <row r="50" ht="60" customHeight="1">
      <c r="A50" s="16" t="inlineStr">
        <is>
          <t>USR-049</t>
        </is>
      </c>
      <c r="B50" s="17" t="inlineStr">
        <is>
          <t>API &amp; Data Integrity</t>
        </is>
      </c>
      <c r="C50" s="17" t="inlineStr">
        <is>
          <t>GET single user — valid UUID vs not-found</t>
        </is>
      </c>
      <c r="D50" s="22" t="inlineStr">
        <is>
          <t>Low</t>
        </is>
      </c>
      <c r="E50" s="17" t="inlineStr">
        <is>
          <t>API</t>
        </is>
      </c>
      <c r="F50" s="17" t="inlineStr">
        <is>
          <t>Admin token; a known user UUID.</t>
        </is>
      </c>
      <c r="G50" s="17" t="inlineStr">
        <is>
          <t>1. Call GET /api/users/{validId}.
2. Call GET /api/users/00000000-0000-0000-0000-000000000000 (nonexistent).</t>
        </is>
      </c>
      <c r="H50" s="17" t="inlineStr">
        <is>
          <t>valid UUID; nonexistent UUID</t>
        </is>
      </c>
      <c r="I50" s="17" t="inlineStr">
        <is>
          <t>Valid -&gt; 200 {user, message}. Nonexistent -&gt; 404 {message:'User not found', error:'user_not_found'}. (No direct UI caller; API-level coverage.)</t>
        </is>
      </c>
      <c r="J50" s="17" t="inlineStr">
        <is>
          <t>GET /api/users/{id}</t>
        </is>
      </c>
      <c r="K50" s="14" t="inlineStr"/>
      <c r="L50" s="15" t="inlineStr">
        <is>
          <t>Not Executed</t>
        </is>
      </c>
      <c r="M50" s="15" t="inlineStr"/>
      <c r="N50" s="15" t="inlineStr"/>
      <c r="O50" s="15" t="inlineStr"/>
      <c r="P50" s="14" t="inlineStr"/>
    </row>
    <row r="51" ht="105" customHeight="1">
      <c r="A51" s="16" t="inlineStr">
        <is>
          <t>USR-050</t>
        </is>
      </c>
      <c r="B51" s="17" t="inlineStr">
        <is>
          <t>API &amp; Data Integrity</t>
        </is>
      </c>
      <c r="C51" s="17" t="inlineStr">
        <is>
          <t>GET /api/users/pending/count matches header badge logic</t>
        </is>
      </c>
      <c r="D51" s="22" t="inlineStr">
        <is>
          <t>Low</t>
        </is>
      </c>
      <c r="E51" s="17" t="inlineStr">
        <is>
          <t>API</t>
        </is>
      </c>
      <c r="F51" s="17" t="inlineStr">
        <is>
          <t>Admin token; N pending users (is_approved=false AND is_active=true).</t>
        </is>
      </c>
      <c r="G51" s="17" t="inlineStr">
        <is>
          <t>1. Call GET /api/users/pending/count.
2. Compare with the header 'pending approval' badge (computed client-side from is_approved=false).</t>
        </is>
      </c>
      <c r="H51" s="17" t="inlineStr">
        <is>
          <t>N/A</t>
        </is>
      </c>
      <c r="I51" s="17" t="inlineStr">
        <is>
          <t>Endpoint returns {count} = users with is_approved=false AND is_active=true. NOTE mismatch: the header badge counts ALL is_approved=false (including rejected users where is_active=false), so the badge can exceed the API count. Flag as a data-integrity/consistency observation.</t>
        </is>
      </c>
      <c r="J51" s="17" t="inlineStr">
        <is>
          <t>GET /api/users/pending/count</t>
        </is>
      </c>
      <c r="K51" s="14" t="inlineStr"/>
      <c r="L51" s="15" t="inlineStr">
        <is>
          <t>Not Executed</t>
        </is>
      </c>
      <c r="M51" s="15" t="inlineStr"/>
      <c r="N51" s="15" t="inlineStr"/>
      <c r="O51" s="15" t="inlineStr"/>
      <c r="P51" s="14" t="inlineStr"/>
    </row>
    <row r="52" ht="90" customHeight="1">
      <c r="A52" s="16" t="inlineStr">
        <is>
          <t>USR-051</t>
        </is>
      </c>
      <c r="B52" s="17" t="inlineStr">
        <is>
          <t>API &amp; Data Integrity</t>
        </is>
      </c>
      <c r="C52" s="17" t="inlineStr">
        <is>
          <t>Action on a non-existent/invalid user id returns handled 400/404</t>
        </is>
      </c>
      <c r="D52" s="18" t="inlineStr">
        <is>
          <t>Medium</t>
        </is>
      </c>
      <c r="E52" s="17" t="inlineStr">
        <is>
          <t>Negative</t>
        </is>
      </c>
      <c r="F52" s="17" t="inlineStr">
        <is>
          <t>Admin token.</t>
        </is>
      </c>
      <c r="G52" s="17" t="inlineStr">
        <is>
          <t>1. Call POST /api/users/{badId}/approve.
2. Call PUT /api/users/{badId}/toggle-status.
3. Call PUT /api/users/{badId} with a valid body.
4. Inspect responses.</t>
        </is>
      </c>
      <c r="H52" s="17" t="inlineStr">
        <is>
          <t>badId = nonexistent or malformed UUID</t>
        </is>
      </c>
      <c r="I52" s="17" t="inlineStr">
        <is>
          <t>approve/reject/toggle/update with an unknown id return 400 with the relevant error key (approve_failed/toggle_failed/update_failed) and message 'User not found' (caught in service). A malformed UUID should not crash with a 500 — record if it does.</t>
        </is>
      </c>
      <c r="J52" s="17" t="inlineStr">
        <is>
          <t>POST /api/users/{id}/approve, PUT /api/users/{id}, PUT /api/users/{id}/toggle-status</t>
        </is>
      </c>
      <c r="K52" s="14" t="inlineStr"/>
      <c r="L52" s="15" t="inlineStr">
        <is>
          <t>Not Executed</t>
        </is>
      </c>
      <c r="M52" s="15" t="inlineStr"/>
      <c r="N52" s="15" t="inlineStr"/>
      <c r="O52" s="15" t="inlineStr"/>
      <c r="P52" s="14" t="inlineStr"/>
    </row>
    <row r="53" ht="135" customHeight="1">
      <c r="A53" s="11" t="inlineStr">
        <is>
          <t>USR-052</t>
        </is>
      </c>
      <c r="B53" s="12" t="inlineStr">
        <is>
          <t>Build / Coverage Gaps</t>
        </is>
      </c>
      <c r="C53" s="12" t="inlineStr">
        <is>
          <t>No admin-initiated Create User and no phone field on Users screen</t>
        </is>
      </c>
      <c r="D53" s="19" t="inlineStr">
        <is>
          <t>Medium</t>
        </is>
      </c>
      <c r="E53" s="12" t="inlineStr">
        <is>
          <t>Edge Case</t>
        </is>
      </c>
      <c r="F53" s="12" t="inlineStr">
        <is>
          <t>Admin logged in on /users.</t>
        </is>
      </c>
      <c r="G53" s="12" t="inlineStr">
        <is>
          <t>1. Inspect the Users screen for any 'Add User' / 'Create User' / 'Invite' control.
2. Open the Edit modal and inspect for a phone (+91) field or password/reset control.
3. Confirm the only path to create a user is public self-registration at /register.</t>
        </is>
      </c>
      <c r="H53" s="12" t="inlineStr">
        <is>
          <t>N/A</t>
        </is>
      </c>
      <c r="I53" s="12" t="inlineStr">
        <is>
          <t>FINDING: there is NO Create/Add-User button on /users — new users can only self-register at /register (then be approved). The Edit modal has NO phone, NO status toggle, NO password/temp-password controls. Confirm with the client whether admin-side user creation and phone capture are required for go-live; otherwise mark these as known scope gaps.</t>
        </is>
      </c>
      <c r="J53" s="12" t="inlineStr">
        <is>
          <t>N/A</t>
        </is>
      </c>
      <c r="K53" s="14" t="inlineStr"/>
      <c r="L53" s="15" t="inlineStr">
        <is>
          <t>Not Executed</t>
        </is>
      </c>
      <c r="M53" s="15" t="inlineStr"/>
      <c r="N53" s="15" t="inlineStr"/>
      <c r="O53" s="15" t="inlineStr"/>
      <c r="P53" s="14" t="inlineStr"/>
    </row>
  </sheetData>
  <autoFilter ref="A1:P53"/>
  <conditionalFormatting sqref="L2:L5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53" showDropDown="0" showInputMessage="0" showErrorMessage="0" allowBlank="1" type="list">
      <formula1>"Not Executed,Pass,Fail,Blocked,N/A"</formula1>
    </dataValidation>
    <dataValidation sqref="M2:M53" showDropDown="0" showInputMessage="0" showErrorMessage="0" allowBlank="1"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3" t="inlineStr">
        <is>
          <t>Test Case ID</t>
        </is>
      </c>
      <c r="B1" s="3" t="inlineStr">
        <is>
          <t>Section / Feature</t>
        </is>
      </c>
      <c r="C1" s="3" t="inlineStr">
        <is>
          <t>Test Title</t>
        </is>
      </c>
      <c r="D1" s="3" t="inlineStr">
        <is>
          <t>Priority</t>
        </is>
      </c>
      <c r="E1" s="3" t="inlineStr">
        <is>
          <t>Type</t>
        </is>
      </c>
      <c r="F1" s="3" t="inlineStr">
        <is>
          <t>Preconditions</t>
        </is>
      </c>
      <c r="G1" s="3" t="inlineStr">
        <is>
          <t>Test Steps</t>
        </is>
      </c>
      <c r="H1" s="3" t="inlineStr">
        <is>
          <t>Test Data</t>
        </is>
      </c>
      <c r="I1" s="3" t="inlineStr">
        <is>
          <t>Expected Result</t>
        </is>
      </c>
      <c r="J1" s="3" t="inlineStr">
        <is>
          <t>API Reference</t>
        </is>
      </c>
      <c r="K1" s="3" t="inlineStr">
        <is>
          <t>Actual Result</t>
        </is>
      </c>
      <c r="L1" s="3" t="inlineStr">
        <is>
          <t>Status</t>
        </is>
      </c>
      <c r="M1" s="3" t="inlineStr">
        <is>
          <t>Severity</t>
        </is>
      </c>
      <c r="N1" s="3" t="inlineStr">
        <is>
          <t>Tested By</t>
        </is>
      </c>
      <c r="O1" s="3" t="inlineStr">
        <is>
          <t>Date Tested</t>
        </is>
      </c>
      <c r="P1" s="3" t="inlineStr">
        <is>
          <t>Remarks / Defect ID</t>
        </is>
      </c>
    </row>
    <row r="2" ht="120" customHeight="1">
      <c r="A2" s="11" t="inlineStr">
        <is>
          <t>SET-001</t>
        </is>
      </c>
      <c r="B2" s="12" t="inlineStr">
        <is>
          <t>Page Load &amp; Rendering</t>
        </is>
      </c>
      <c r="C2" s="12" t="inlineStr">
        <is>
          <t>Settings page loads with header and all five preference sections</t>
        </is>
      </c>
      <c r="D2" s="13" t="inlineStr">
        <is>
          <t>High</t>
        </is>
      </c>
      <c r="E2" s="12" t="inlineStr">
        <is>
          <t>Functional</t>
        </is>
      </c>
      <c r="F2" s="12" t="inlineStr">
        <is>
          <t>Logged in as any authenticated user.</t>
        </is>
      </c>
      <c r="G2" s="12" t="inlineStr">
        <is>
          <t>1. Navigate to /settings (via sidebar 'Settings' link or direct URL).
2. Observe the page header and the list of cards top to bottom.</t>
        </is>
      </c>
      <c r="H2" s="12" t="inlineStr">
        <is>
          <t>N/A</t>
        </is>
      </c>
      <c r="I2" s="12" t="inlineStr">
        <is>
          <t>Page renders with no errors/blank screen. Header shows title 'Settings' and subtitle 'Manage your application preferences and appearance'. Exactly five cards render in order: Appearance, Typography, Border Radius, Density, Accessibility. The content is centred in a max-width container (max-w-4xl).</t>
        </is>
      </c>
      <c r="J2" s="12" t="inlineStr">
        <is>
          <t>N/A</t>
        </is>
      </c>
      <c r="K2" s="14" t="inlineStr"/>
      <c r="L2" s="15" t="inlineStr">
        <is>
          <t>Not Executed</t>
        </is>
      </c>
      <c r="M2" s="15" t="inlineStr"/>
      <c r="N2" s="15" t="inlineStr"/>
      <c r="O2" s="15" t="inlineStr"/>
      <c r="P2" s="14" t="inlineStr"/>
    </row>
    <row r="3" ht="150" customHeight="1">
      <c r="A3" s="11" t="inlineStr">
        <is>
          <t>SET-002</t>
        </is>
      </c>
      <c r="B3" s="12" t="inlineStr">
        <is>
          <t>Page Load &amp; Rendering</t>
        </is>
      </c>
      <c r="C3" s="12" t="inlineStr">
        <is>
          <t>Each section displays its correct title, icon and description</t>
        </is>
      </c>
      <c r="D3" s="19" t="inlineStr">
        <is>
          <t>Medium</t>
        </is>
      </c>
      <c r="E3" s="12" t="inlineStr">
        <is>
          <t>UI/UX</t>
        </is>
      </c>
      <c r="F3" s="12" t="inlineStr">
        <is>
          <t>On /settings.</t>
        </is>
      </c>
      <c r="G3" s="12" t="inlineStr">
        <is>
          <t>1. Read each card's header.
2. Confirm titles, icons and descriptions.</t>
        </is>
      </c>
      <c r="H3" s="12" t="inlineStr">
        <is>
          <t>N/A</t>
        </is>
      </c>
      <c r="I3" s="12" t="inlineStr">
        <is>
          <t>Appearance: 'Customize how the dashboard looks on your device'. Typography (Type icon): 'Choose the font family for the application'. Border Radius (Square icon): 'Adjust the roundness of UI elements'. Density (Layers icon): 'Control the spacing and padding of UI elements'. Accessibility (Accessibility icon): 'Customize accessibility features for better usability'. No icons/text missing or overlapping.</t>
        </is>
      </c>
      <c r="J3" s="12" t="inlineStr">
        <is>
          <t>N/A</t>
        </is>
      </c>
      <c r="K3" s="14" t="inlineStr"/>
      <c r="L3" s="15" t="inlineStr">
        <is>
          <t>Not Executed</t>
        </is>
      </c>
      <c r="M3" s="15" t="inlineStr"/>
      <c r="N3" s="15" t="inlineStr"/>
      <c r="O3" s="15" t="inlineStr"/>
      <c r="P3" s="14" t="inlineStr"/>
    </row>
    <row r="4" ht="120" customHeight="1">
      <c r="A4" s="11" t="inlineStr">
        <is>
          <t>SET-003</t>
        </is>
      </c>
      <c r="B4" s="12" t="inlineStr">
        <is>
          <t>Page Load &amp; Rendering</t>
        </is>
      </c>
      <c r="C4" s="12" t="inlineStr">
        <is>
          <t>Controls pre-populate / highlight the currently active preferences on load</t>
        </is>
      </c>
      <c r="D4" s="13" t="inlineStr">
        <is>
          <t>High</t>
        </is>
      </c>
      <c r="E4" s="12" t="inlineStr">
        <is>
          <t>Data Integrity</t>
        </is>
      </c>
      <c r="F4" s="12" t="inlineStr">
        <is>
          <t>localStorage 'themeConfig' set to {theme:'dark', font:'open-sans', borderRadius:'large', density:'compact', reducedMotion:true, highContrast:false}.</t>
        </is>
      </c>
      <c r="G4" s="12" t="inlineStr">
        <is>
          <t>1. Reload /settings.
2. Inspect the state of every control against the stored config.</t>
        </is>
      </c>
      <c r="H4" s="12" t="inlineStr">
        <is>
          <t>themeConfig as above</t>
        </is>
      </c>
      <c r="I4" s="12" t="inlineStr">
        <is>
          <t>Dark Mode switch is ON (Moon icon, 'Dark theme is enabled', Current theme: Dark). 'Open Sans' font button is highlighted (primary border). Border Radius 'large' button highlighted. Density 'compact' button highlighted. Reduce Motion switch ON, High Contrast switch OFF. Controls reflect persisted state exactly — none reset to defaults.</t>
        </is>
      </c>
      <c r="J4" s="12" t="inlineStr">
        <is>
          <t>N/A</t>
        </is>
      </c>
      <c r="K4" s="14" t="inlineStr"/>
      <c r="L4" s="15" t="inlineStr">
        <is>
          <t>Not Executed</t>
        </is>
      </c>
      <c r="M4" s="15" t="inlineStr"/>
      <c r="N4" s="15" t="inlineStr"/>
      <c r="O4" s="15" t="inlineStr"/>
      <c r="P4" s="14" t="inlineStr"/>
    </row>
    <row r="5" ht="105" customHeight="1">
      <c r="A5" s="11" t="inlineStr">
        <is>
          <t>SET-004</t>
        </is>
      </c>
      <c r="B5" s="12" t="inlineStr">
        <is>
          <t>Page Load &amp; Rendering</t>
        </is>
      </c>
      <c r="C5" s="12" t="inlineStr">
        <is>
          <t>No API/network calls are made on page load or on preference changes</t>
        </is>
      </c>
      <c r="D5" s="19" t="inlineStr">
        <is>
          <t>Medium</t>
        </is>
      </c>
      <c r="E5" s="12" t="inlineStr">
        <is>
          <t>API</t>
        </is>
      </c>
      <c r="F5" s="12" t="inlineStr">
        <is>
          <t>On /settings with DevTools Network tab open (cleared/filtered to XHR/Fetch).</t>
        </is>
      </c>
      <c r="G5" s="12" t="inlineStr">
        <is>
          <t>1. Reload /settings and watch Network.
2. Toggle dark mode, change font, radius, density, and both accessibility switches.
3. Re-check Network for any request beyond static assets/fonts.</t>
        </is>
      </c>
      <c r="H5" s="12" t="inlineStr">
        <is>
          <t>N/A</t>
        </is>
      </c>
      <c r="I5" s="12" t="inlineStr">
        <is>
          <t>No XHR/fetch calls to /api/* are made by the Settings page when loading or when changing any preference. The only network activity is the Google Fonts stylesheet for Inter/Open Sans on first selection. Confirms preferences are purely client-side (localStorage).</t>
        </is>
      </c>
      <c r="J5" s="12" t="inlineStr">
        <is>
          <t>N/A</t>
        </is>
      </c>
      <c r="K5" s="14" t="inlineStr"/>
      <c r="L5" s="15" t="inlineStr">
        <is>
          <t>Not Executed</t>
        </is>
      </c>
      <c r="M5" s="15" t="inlineStr"/>
      <c r="N5" s="15" t="inlineStr"/>
      <c r="O5" s="15" t="inlineStr"/>
      <c r="P5" s="14" t="inlineStr"/>
    </row>
    <row r="6" ht="105" customHeight="1">
      <c r="A6" s="16" t="inlineStr">
        <is>
          <t>SET-005</t>
        </is>
      </c>
      <c r="B6" s="17" t="inlineStr">
        <is>
          <t>Appearance — Dark Mode</t>
        </is>
      </c>
      <c r="C6" s="17" t="inlineStr">
        <is>
          <t>Toggle Dark Mode ON applies dark theme app-wide immediately</t>
        </is>
      </c>
      <c r="D6" s="21" t="inlineStr">
        <is>
          <t>High</t>
        </is>
      </c>
      <c r="E6" s="17" t="inlineStr">
        <is>
          <t>Functional</t>
        </is>
      </c>
      <c r="F6" s="17" t="inlineStr">
        <is>
          <t>On /settings in Light mode (switch OFF).</t>
        </is>
      </c>
      <c r="G6" s="17" t="inlineStr">
        <is>
          <t>1. Click the Dark Mode switch to turn it ON.
2. Observe the page and the icon/label text.
3. Inspect &lt;html&gt; element classes in DevTools.</t>
        </is>
      </c>
      <c r="H6" s="17" t="inlineStr">
        <is>
          <t>N/A</t>
        </is>
      </c>
      <c r="I6" s="17" t="inlineStr">
        <is>
          <t>Theme switches to dark instantly without reload. Switch shows ON, icon changes to Moon, helper text reads 'Dark theme is enabled', and 'Current theme: Dark'. document.documentElement carries the 'dark' class. Surrounding chrome (sidebar/header) also renders dark.</t>
        </is>
      </c>
      <c r="J6" s="17" t="inlineStr">
        <is>
          <t>N/A</t>
        </is>
      </c>
      <c r="K6" s="14" t="inlineStr"/>
      <c r="L6" s="15" t="inlineStr">
        <is>
          <t>Not Executed</t>
        </is>
      </c>
      <c r="M6" s="15" t="inlineStr"/>
      <c r="N6" s="15" t="inlineStr"/>
      <c r="O6" s="15" t="inlineStr"/>
      <c r="P6" s="14" t="inlineStr"/>
    </row>
    <row r="7" ht="75" customHeight="1">
      <c r="A7" s="16" t="inlineStr">
        <is>
          <t>SET-006</t>
        </is>
      </c>
      <c r="B7" s="17" t="inlineStr">
        <is>
          <t>Appearance — Dark Mode</t>
        </is>
      </c>
      <c r="C7" s="17" t="inlineStr">
        <is>
          <t>Toggle Dark Mode OFF returns to light theme</t>
        </is>
      </c>
      <c r="D7" s="21" t="inlineStr">
        <is>
          <t>High</t>
        </is>
      </c>
      <c r="E7" s="17" t="inlineStr">
        <is>
          <t>Functional</t>
        </is>
      </c>
      <c r="F7" s="17" t="inlineStr">
        <is>
          <t>On /settings in Dark mode (switch ON).</t>
        </is>
      </c>
      <c r="G7" s="17" t="inlineStr">
        <is>
          <t>1. Click the Dark Mode switch to turn it OFF.
2. Observe icon/label and &lt;html&gt; class.</t>
        </is>
      </c>
      <c r="H7" s="17" t="inlineStr">
        <is>
          <t>N/A</t>
        </is>
      </c>
      <c r="I7" s="17" t="inlineStr">
        <is>
          <t>Theme returns to light instantly. Switch OFF, Sun icon shown, helper text 'Light theme is enabled', 'Current theme: Light'. The 'dark' class is removed from document.documentElement.</t>
        </is>
      </c>
      <c r="J7" s="17" t="inlineStr">
        <is>
          <t>N/A</t>
        </is>
      </c>
      <c r="K7" s="14" t="inlineStr"/>
      <c r="L7" s="15" t="inlineStr">
        <is>
          <t>Not Executed</t>
        </is>
      </c>
      <c r="M7" s="15" t="inlineStr"/>
      <c r="N7" s="15" t="inlineStr"/>
      <c r="O7" s="15" t="inlineStr"/>
      <c r="P7" s="14" t="inlineStr"/>
    </row>
    <row r="8" ht="75" customHeight="1">
      <c r="A8" s="16" t="inlineStr">
        <is>
          <t>SET-007</t>
        </is>
      </c>
      <c r="B8" s="17" t="inlineStr">
        <is>
          <t>Appearance — Dark Mode</t>
        </is>
      </c>
      <c r="C8" s="17" t="inlineStr">
        <is>
          <t>Dark Mode preference persists across full page reload</t>
        </is>
      </c>
      <c r="D8" s="21" t="inlineStr">
        <is>
          <t>High</t>
        </is>
      </c>
      <c r="E8" s="17" t="inlineStr">
        <is>
          <t>Data Integrity</t>
        </is>
      </c>
      <c r="F8" s="17" t="inlineStr">
        <is>
          <t>On /settings.</t>
        </is>
      </c>
      <c r="G8" s="17" t="inlineStr">
        <is>
          <t>1. Set Dark Mode ON.
2. Press F5 / hard-reload the page.
3. Re-open /settings if needed and inspect the switch and &lt;html&gt; class.</t>
        </is>
      </c>
      <c r="H8" s="17" t="inlineStr">
        <is>
          <t>N/A</t>
        </is>
      </c>
      <c r="I8" s="17" t="inlineStr">
        <is>
          <t>After reload the theme is still dark: switch ON, 'dark' class present, localStorage 'themeConfig'.theme === 'dark'. Preference survives reload (saved to localStorage immediately on toggle).</t>
        </is>
      </c>
      <c r="J8" s="17" t="inlineStr">
        <is>
          <t>N/A</t>
        </is>
      </c>
      <c r="K8" s="14" t="inlineStr"/>
      <c r="L8" s="15" t="inlineStr">
        <is>
          <t>Not Executed</t>
        </is>
      </c>
      <c r="M8" s="15" t="inlineStr"/>
      <c r="N8" s="15" t="inlineStr"/>
      <c r="O8" s="15" t="inlineStr"/>
      <c r="P8" s="14" t="inlineStr"/>
    </row>
    <row r="9" ht="75" customHeight="1">
      <c r="A9" s="16" t="inlineStr">
        <is>
          <t>SET-008</t>
        </is>
      </c>
      <c r="B9" s="17" t="inlineStr">
        <is>
          <t>Appearance — Dark Mode</t>
        </is>
      </c>
      <c r="C9" s="17" t="inlineStr">
        <is>
          <t>Dark Mode persists when navigating away to another screen and back</t>
        </is>
      </c>
      <c r="D9" s="21" t="inlineStr">
        <is>
          <t>High</t>
        </is>
      </c>
      <c r="E9" s="17" t="inlineStr">
        <is>
          <t>Data Integrity</t>
        </is>
      </c>
      <c r="F9" s="17" t="inlineStr">
        <is>
          <t>Logged in, on /settings.</t>
        </is>
      </c>
      <c r="G9" s="17" t="inlineStr">
        <is>
          <t>1. Set Dark Mode ON in Settings.
2. Navigate to /dashboard (or /patients) via the sidebar.
3. Confirm that screen also renders dark.
4. Return to /settings.</t>
        </is>
      </c>
      <c r="H9" s="17" t="inlineStr">
        <is>
          <t>N/A</t>
        </is>
      </c>
      <c r="I9" s="17" t="inlineStr">
        <is>
          <t>The dark theme is applied app-wide on the other screen (it is a document-level class, not page-local). On returning to /settings the Dark Mode switch is still ON. No reset on navigation.</t>
        </is>
      </c>
      <c r="J9" s="17" t="inlineStr">
        <is>
          <t>N/A</t>
        </is>
      </c>
      <c r="K9" s="14" t="inlineStr"/>
      <c r="L9" s="15" t="inlineStr">
        <is>
          <t>Not Executed</t>
        </is>
      </c>
      <c r="M9" s="15" t="inlineStr"/>
      <c r="N9" s="15" t="inlineStr"/>
      <c r="O9" s="15" t="inlineStr"/>
      <c r="P9" s="14" t="inlineStr"/>
    </row>
    <row r="10" ht="90" customHeight="1">
      <c r="A10" s="16" t="inlineStr">
        <is>
          <t>SET-009</t>
        </is>
      </c>
      <c r="B10" s="17" t="inlineStr">
        <is>
          <t>Appearance — Dark Mode</t>
        </is>
      </c>
      <c r="C10" s="17" t="inlineStr">
        <is>
          <t>Dark Mode preference is shared in a new tab of the same browser profile</t>
        </is>
      </c>
      <c r="D10" s="18" t="inlineStr">
        <is>
          <t>Medium</t>
        </is>
      </c>
      <c r="E10" s="17" t="inlineStr">
        <is>
          <t>Data Integrity</t>
        </is>
      </c>
      <c r="F10" s="17" t="inlineStr">
        <is>
          <t>Dark Mode set ON; app open in one tab.</t>
        </is>
      </c>
      <c r="G10" s="17" t="inlineStr">
        <is>
          <t>1. Open a second tab to the app /settings (same browser profile).
2. Observe theme and switch state.</t>
        </is>
      </c>
      <c r="H10" s="17" t="inlineStr">
        <is>
          <t>N/A</t>
        </is>
      </c>
      <c r="I10" s="17" t="inlineStr">
        <is>
          <t>The new tab loads in dark mode and the Dark Mode switch is ON, because both tabs read the same localStorage 'themeConfig'. (Note: a change made in one tab is reflected in the other only after that tab reloads — localStorage is read on mount.)</t>
        </is>
      </c>
      <c r="J10" s="17" t="inlineStr">
        <is>
          <t>N/A</t>
        </is>
      </c>
      <c r="K10" s="14" t="inlineStr"/>
      <c r="L10" s="15" t="inlineStr">
        <is>
          <t>Not Executed</t>
        </is>
      </c>
      <c r="M10" s="15" t="inlineStr"/>
      <c r="N10" s="15" t="inlineStr"/>
      <c r="O10" s="15" t="inlineStr"/>
      <c r="P10" s="14" t="inlineStr"/>
    </row>
    <row r="11" ht="105" customHeight="1">
      <c r="A11" s="11" t="inlineStr">
        <is>
          <t>SET-010</t>
        </is>
      </c>
      <c r="B11" s="12" t="inlineStr">
        <is>
          <t>Appearance — Current Theme Info</t>
        </is>
      </c>
      <c r="C11" s="12" t="inlineStr">
        <is>
          <t>System-preference note shown only when no theme preference is stored</t>
        </is>
      </c>
      <c r="D11" s="20" t="inlineStr">
        <is>
          <t>Low</t>
        </is>
      </c>
      <c r="E11" s="12" t="inlineStr">
        <is>
          <t>UI/UX</t>
        </is>
      </c>
      <c r="F11" s="12" t="inlineStr">
        <is>
          <t>Two states available: (a) fresh profile with NO 'themeConfig' in localStorage; (b) any profile that has saved a preference.</t>
        </is>
      </c>
      <c r="G11" s="12" t="inlineStr">
        <is>
          <t>1. On a fresh profile (clear localStorage), open /settings and read the note under 'Current theme'.
2. Toggle any preference (which writes themeConfig), reload, and re-read the note.</t>
        </is>
      </c>
      <c r="H11" s="12" t="inlineStr">
        <is>
          <t>N/A</t>
        </is>
      </c>
      <c r="I11" s="12" t="inlineStr">
        <is>
          <t>Fresh profile: note reads 'Your theme preference is saved and will persist across sessions. Initially set based on your system preference.' After a preference is stored, the second sentence ('Initially set based on your system preference.') no longer appears.</t>
        </is>
      </c>
      <c r="J11" s="12" t="inlineStr">
        <is>
          <t>N/A</t>
        </is>
      </c>
      <c r="K11" s="14" t="inlineStr"/>
      <c r="L11" s="15" t="inlineStr">
        <is>
          <t>Not Executed</t>
        </is>
      </c>
      <c r="M11" s="15" t="inlineStr"/>
      <c r="N11" s="15" t="inlineStr"/>
      <c r="O11" s="15" t="inlineStr"/>
      <c r="P11" s="14" t="inlineStr"/>
    </row>
    <row r="12" ht="90" customHeight="1">
      <c r="A12" s="16" t="inlineStr">
        <is>
          <t>SET-011</t>
        </is>
      </c>
      <c r="B12" s="17" t="inlineStr">
        <is>
          <t>Appearance — System Theme Detection</t>
        </is>
      </c>
      <c r="C12" s="17" t="inlineStr">
        <is>
          <t>Default theme follows OS prefers-color-scheme on a fresh profile</t>
        </is>
      </c>
      <c r="D12" s="18" t="inlineStr">
        <is>
          <t>Medium</t>
        </is>
      </c>
      <c r="E12" s="17" t="inlineStr">
        <is>
          <t>Functional</t>
        </is>
      </c>
      <c r="F12" s="17" t="inlineStr">
        <is>
          <t>Fresh browser profile with NO 'themeConfig' in localStorage.</t>
        </is>
      </c>
      <c r="G12" s="17" t="inlineStr">
        <is>
          <t>1. Set the OS/browser colour scheme to Dark (or DevTools emulate prefers-color-scheme: dark).
2. Log in and open /settings.
3. Observe initial theme.
4. Repeat with OS scheme set to Light on another fresh profile.</t>
        </is>
      </c>
      <c r="H12" s="17" t="inlineStr">
        <is>
          <t>N/A</t>
        </is>
      </c>
      <c r="I12" s="17" t="inlineStr">
        <is>
          <t>With no stored preference and OS=dark, the app defaults to dark (switch ON). With OS=light it defaults to light. The default is derived from window.matchMedia('(prefers-color-scheme: dark)').</t>
        </is>
      </c>
      <c r="J12" s="17" t="inlineStr">
        <is>
          <t>N/A</t>
        </is>
      </c>
      <c r="K12" s="14" t="inlineStr"/>
      <c r="L12" s="15" t="inlineStr">
        <is>
          <t>Not Executed</t>
        </is>
      </c>
      <c r="M12" s="15" t="inlineStr"/>
      <c r="N12" s="15" t="inlineStr"/>
      <c r="O12" s="15" t="inlineStr"/>
      <c r="P12" s="14" t="inlineStr"/>
    </row>
    <row r="13" ht="60" customHeight="1">
      <c r="A13" s="16" t="inlineStr">
        <is>
          <t>SET-012</t>
        </is>
      </c>
      <c r="B13" s="17" t="inlineStr">
        <is>
          <t>Appearance — System Theme Detection</t>
        </is>
      </c>
      <c r="C13" s="17" t="inlineStr">
        <is>
          <t>Once a preference is stored, OS theme changes do NOT auto-switch the app</t>
        </is>
      </c>
      <c r="D13" s="18" t="inlineStr">
        <is>
          <t>Medium</t>
        </is>
      </c>
      <c r="E13" s="17" t="inlineStr">
        <is>
          <t>Edge Case</t>
        </is>
      </c>
      <c r="F13" s="17" t="inlineStr">
        <is>
          <t>User has explicitly set a theme (themeConfig exists in localStorage).</t>
        </is>
      </c>
      <c r="G13" s="17" t="inlineStr">
        <is>
          <t>1. With a stored preference (e.g. light), change the OS colour scheme to dark while the app is open.
2. Observe whether the app theme changes.</t>
        </is>
      </c>
      <c r="H13" s="17" t="inlineStr">
        <is>
          <t>N/A</t>
        </is>
      </c>
      <c r="I13" s="17" t="inlineStr">
        <is>
          <t>The app does NOT auto-switch to dark; it respects the user's explicit stored preference. The OS-change listener only auto-switches when no themeConfig is stored.</t>
        </is>
      </c>
      <c r="J13" s="17" t="inlineStr">
        <is>
          <t>N/A</t>
        </is>
      </c>
      <c r="K13" s="14" t="inlineStr"/>
      <c r="L13" s="15" t="inlineStr">
        <is>
          <t>Not Executed</t>
        </is>
      </c>
      <c r="M13" s="15" t="inlineStr"/>
      <c r="N13" s="15" t="inlineStr"/>
      <c r="O13" s="15" t="inlineStr"/>
      <c r="P13" s="14" t="inlineStr"/>
    </row>
    <row r="14" ht="105" customHeight="1">
      <c r="A14" s="11" t="inlineStr">
        <is>
          <t>SET-013</t>
        </is>
      </c>
      <c r="B14" s="12" t="inlineStr">
        <is>
          <t>Typography</t>
        </is>
      </c>
      <c r="C14" s="12" t="inlineStr">
        <is>
          <t>Selecting each font option highlights it and applies the font app-wide</t>
        </is>
      </c>
      <c r="D14" s="13" t="inlineStr">
        <is>
          <t>High</t>
        </is>
      </c>
      <c r="E14" s="12" t="inlineStr">
        <is>
          <t>Functional</t>
        </is>
      </c>
      <c r="F14" s="12" t="inlineStr">
        <is>
          <t>On /settings.</t>
        </is>
      </c>
      <c r="G14" s="12" t="inlineStr">
        <is>
          <t>1. Click 'System Default'.
2. Observe highlight and the document text font.
3. Click 'Open Sans', then 'Inter', observing each time.
4. Inspect document.documentElement.style.fontFamily in DevTools.</t>
        </is>
      </c>
      <c r="H14" s="12" t="inlineStr">
        <is>
          <t>Inter / System Default / Open Sans</t>
        </is>
      </c>
      <c r="I14" s="12" t="inlineStr">
        <is>
          <t>Only one button is highlighted at a time (selected button gets primary border + tinted background). The document root font-family updates to the selected stack (System Default = -apple-system stack; Open Sans / Inter = their stacks). The change applies app-wide, not just to the sample text.</t>
        </is>
      </c>
      <c r="J14" s="12" t="inlineStr">
        <is>
          <t>N/A</t>
        </is>
      </c>
      <c r="K14" s="14" t="inlineStr"/>
      <c r="L14" s="15" t="inlineStr">
        <is>
          <t>Not Executed</t>
        </is>
      </c>
      <c r="M14" s="15" t="inlineStr"/>
      <c r="N14" s="15" t="inlineStr"/>
      <c r="O14" s="15" t="inlineStr"/>
      <c r="P14" s="14" t="inlineStr"/>
    </row>
    <row r="15" ht="90" customHeight="1">
      <c r="A15" s="11" t="inlineStr">
        <is>
          <t>SET-014</t>
        </is>
      </c>
      <c r="B15" s="12" t="inlineStr">
        <is>
          <t>Typography</t>
        </is>
      </c>
      <c r="C15" s="12" t="inlineStr">
        <is>
          <t>Web-font stylesheet is injected once for Inter and Open Sans</t>
        </is>
      </c>
      <c r="D15" s="20" t="inlineStr">
        <is>
          <t>Low</t>
        </is>
      </c>
      <c r="E15" s="12" t="inlineStr">
        <is>
          <t>Functional</t>
        </is>
      </c>
      <c r="F15" s="12" t="inlineStr">
        <is>
          <t>On /settings, Network tab open.</t>
        </is>
      </c>
      <c r="G15" s="12" t="inlineStr">
        <is>
          <t>1. Select 'Open Sans'; watch Network for the Google Fonts stylesheet.
2. Select 'Inter'; watch Network.
3. Re-select 'Open Sans' again and confirm no duplicate stylesheet link is added.
4. Select 'System Default'.</t>
        </is>
      </c>
      <c r="H15" s="12" t="inlineStr">
        <is>
          <t>N/A</t>
        </is>
      </c>
      <c r="I15" s="12" t="inlineStr">
        <is>
          <t>A Google Fonts &lt;link&gt; (id font-open-sans / font-inter) is added to &lt;head&gt; the first time each is chosen and the font loads. Re-selecting an already-loaded font does not append a duplicate link. 'System Default' loads no external font (import is null).</t>
        </is>
      </c>
      <c r="J15" s="12" t="inlineStr">
        <is>
          <t>N/A</t>
        </is>
      </c>
      <c r="K15" s="14" t="inlineStr"/>
      <c r="L15" s="15" t="inlineStr">
        <is>
          <t>Not Executed</t>
        </is>
      </c>
      <c r="M15" s="15" t="inlineStr"/>
      <c r="N15" s="15" t="inlineStr"/>
      <c r="O15" s="15" t="inlineStr"/>
      <c r="P15" s="14" t="inlineStr"/>
    </row>
    <row r="16" ht="90" customHeight="1">
      <c r="A16" s="11" t="inlineStr">
        <is>
          <t>SET-015</t>
        </is>
      </c>
      <c r="B16" s="12" t="inlineStr">
        <is>
          <t>Typography</t>
        </is>
      </c>
      <c r="C16" s="12" t="inlineStr">
        <is>
          <t>Font selection persists across reload and navigation</t>
        </is>
      </c>
      <c r="D16" s="13" t="inlineStr">
        <is>
          <t>High</t>
        </is>
      </c>
      <c r="E16" s="12" t="inlineStr">
        <is>
          <t>Data Integrity</t>
        </is>
      </c>
      <c r="F16" s="12" t="inlineStr">
        <is>
          <t>On /settings.</t>
        </is>
      </c>
      <c r="G16" s="12" t="inlineStr">
        <is>
          <t>1. Select 'Open Sans'.
2. Reload the page; confirm Open Sans still selected/applied.
3. Navigate to /dashboard and back; confirm font unchanged.
4. Inspect localStorage 'themeConfig'.font.</t>
        </is>
      </c>
      <c r="H16" s="12" t="inlineStr">
        <is>
          <t>open-sans</t>
        </is>
      </c>
      <c r="I16" s="12" t="inlineStr">
        <is>
          <t>After reload and navigation the 'Open Sans' button stays highlighted and the document font remains Open Sans. localStorage 'themeConfig'.font === 'open-sans'.</t>
        </is>
      </c>
      <c r="J16" s="12" t="inlineStr">
        <is>
          <t>N/A</t>
        </is>
      </c>
      <c r="K16" s="14" t="inlineStr"/>
      <c r="L16" s="15" t="inlineStr">
        <is>
          <t>Not Executed</t>
        </is>
      </c>
      <c r="M16" s="15" t="inlineStr"/>
      <c r="N16" s="15" t="inlineStr"/>
      <c r="O16" s="15" t="inlineStr"/>
      <c r="P16" s="14" t="inlineStr"/>
    </row>
    <row r="17" ht="90" customHeight="1">
      <c r="A17" s="16" t="inlineStr">
        <is>
          <t>SET-016</t>
        </is>
      </c>
      <c r="B17" s="17" t="inlineStr">
        <is>
          <t>Border Radius</t>
        </is>
      </c>
      <c r="C17" s="17" t="inlineStr">
        <is>
          <t>Selecting each radius option highlights it, updates preview swatch and data attribute</t>
        </is>
      </c>
      <c r="D17" s="21" t="inlineStr">
        <is>
          <t>High</t>
        </is>
      </c>
      <c r="E17" s="17" t="inlineStr">
        <is>
          <t>Functional</t>
        </is>
      </c>
      <c r="F17" s="17" t="inlineStr">
        <is>
          <t>On /settings.</t>
        </is>
      </c>
      <c r="G17" s="17" t="inlineStr">
        <is>
          <t>1. Click 'none', then 'small', 'medium', 'large' in turn.
2. Observe the highlighted button, the preview swatch radius and document.documentElement[data-border-radius].</t>
        </is>
      </c>
      <c r="H17" s="17" t="inlineStr">
        <is>
          <t>none / small / medium / large</t>
        </is>
      </c>
      <c r="I17" s="17" t="inlineStr">
        <is>
          <t>Only the chosen button is highlighted. The 12x12 preview swatch radius matches (none=0, small=0.25rem, medium=0.5rem, large=0.75rem). data-border-radius attribute on &lt;html&gt; equals the selected value. App UI roundness updates accordingly.</t>
        </is>
      </c>
      <c r="J17" s="17" t="inlineStr">
        <is>
          <t>N/A</t>
        </is>
      </c>
      <c r="K17" s="14" t="inlineStr"/>
      <c r="L17" s="15" t="inlineStr">
        <is>
          <t>Not Executed</t>
        </is>
      </c>
      <c r="M17" s="15" t="inlineStr"/>
      <c r="N17" s="15" t="inlineStr"/>
      <c r="O17" s="15" t="inlineStr"/>
      <c r="P17" s="14" t="inlineStr"/>
    </row>
    <row r="18" ht="45" customHeight="1">
      <c r="A18" s="16" t="inlineStr">
        <is>
          <t>SET-017</t>
        </is>
      </c>
      <c r="B18" s="17" t="inlineStr">
        <is>
          <t>Border Radius</t>
        </is>
      </c>
      <c r="C18" s="17" t="inlineStr">
        <is>
          <t>Border radius preference persists across reload</t>
        </is>
      </c>
      <c r="D18" s="18" t="inlineStr">
        <is>
          <t>Medium</t>
        </is>
      </c>
      <c r="E18" s="17" t="inlineStr">
        <is>
          <t>Data Integrity</t>
        </is>
      </c>
      <c r="F18" s="17" t="inlineStr">
        <is>
          <t>On /settings.</t>
        </is>
      </c>
      <c r="G18" s="17" t="inlineStr">
        <is>
          <t>1. Select 'large'.
2. Reload the page and inspect the highlighted button and data-border-radius.</t>
        </is>
      </c>
      <c r="H18" s="17" t="inlineStr">
        <is>
          <t>large</t>
        </is>
      </c>
      <c r="I18" s="17" t="inlineStr">
        <is>
          <t>After reload 'large' remains highlighted, data-border-radius='large', localStorage 'themeConfig'.borderRadius === 'large'.</t>
        </is>
      </c>
      <c r="J18" s="17" t="inlineStr">
        <is>
          <t>N/A</t>
        </is>
      </c>
      <c r="K18" s="14" t="inlineStr"/>
      <c r="L18" s="15" t="inlineStr">
        <is>
          <t>Not Executed</t>
        </is>
      </c>
      <c r="M18" s="15" t="inlineStr"/>
      <c r="N18" s="15" t="inlineStr"/>
      <c r="O18" s="15" t="inlineStr"/>
      <c r="P18" s="14" t="inlineStr"/>
    </row>
    <row r="19" ht="75" customHeight="1">
      <c r="A19" s="11" t="inlineStr">
        <is>
          <t>SET-018</t>
        </is>
      </c>
      <c r="B19" s="12" t="inlineStr">
        <is>
          <t>Density</t>
        </is>
      </c>
      <c r="C19" s="12" t="inlineStr">
        <is>
          <t>Selecting each density option highlights it and updates the data attribute</t>
        </is>
      </c>
      <c r="D19" s="13" t="inlineStr">
        <is>
          <t>High</t>
        </is>
      </c>
      <c r="E19" s="12" t="inlineStr">
        <is>
          <t>Functional</t>
        </is>
      </c>
      <c r="F19" s="12" t="inlineStr">
        <is>
          <t>On /settings.</t>
        </is>
      </c>
      <c r="G19" s="12" t="inlineStr">
        <is>
          <t>1. Click 'compact', then 'comfortable', then 'spacious'.
2. Observe highlight, the preview bar heights and document.documentElement[data-density].</t>
        </is>
      </c>
      <c r="H19" s="12" t="inlineStr">
        <is>
          <t>compact / comfortable / spacious</t>
        </is>
      </c>
      <c r="I19" s="12" t="inlineStr">
        <is>
          <t>Only one button highlighted at a time. Preview bar heights differ by option (compact 6px, comfortable 8px, spacious 10px). data-density attribute on &lt;html&gt; equals the selected value.</t>
        </is>
      </c>
      <c r="J19" s="12" t="inlineStr">
        <is>
          <t>N/A</t>
        </is>
      </c>
      <c r="K19" s="14" t="inlineStr"/>
      <c r="L19" s="15" t="inlineStr">
        <is>
          <t>Not Executed</t>
        </is>
      </c>
      <c r="M19" s="15" t="inlineStr"/>
      <c r="N19" s="15" t="inlineStr"/>
      <c r="O19" s="15" t="inlineStr"/>
      <c r="P19" s="14" t="inlineStr"/>
    </row>
    <row r="20" ht="60" customHeight="1">
      <c r="A20" s="11" t="inlineStr">
        <is>
          <t>SET-019</t>
        </is>
      </c>
      <c r="B20" s="12" t="inlineStr">
        <is>
          <t>Density</t>
        </is>
      </c>
      <c r="C20" s="12" t="inlineStr">
        <is>
          <t>Density preference persists across reload and navigation</t>
        </is>
      </c>
      <c r="D20" s="19" t="inlineStr">
        <is>
          <t>Medium</t>
        </is>
      </c>
      <c r="E20" s="12" t="inlineStr">
        <is>
          <t>Data Integrity</t>
        </is>
      </c>
      <c r="F20" s="12" t="inlineStr">
        <is>
          <t>On /settings.</t>
        </is>
      </c>
      <c r="G20" s="12" t="inlineStr">
        <is>
          <t>1. Select 'spacious'.
2. Reload and navigate to /dashboard and back.
3. Inspect data-density and localStorage.</t>
        </is>
      </c>
      <c r="H20" s="12" t="inlineStr">
        <is>
          <t>spacious</t>
        </is>
      </c>
      <c r="I20" s="12" t="inlineStr">
        <is>
          <t>After reload/navigation 'spacious' stays highlighted, data-density='spacious', localStorage 'themeConfig'.density === 'spacious'.</t>
        </is>
      </c>
      <c r="J20" s="12" t="inlineStr">
        <is>
          <t>N/A</t>
        </is>
      </c>
      <c r="K20" s="14" t="inlineStr"/>
      <c r="L20" s="15" t="inlineStr">
        <is>
          <t>Not Executed</t>
        </is>
      </c>
      <c r="M20" s="15" t="inlineStr"/>
      <c r="N20" s="15" t="inlineStr"/>
      <c r="O20" s="15" t="inlineStr"/>
      <c r="P20" s="14" t="inlineStr"/>
    </row>
    <row r="21" ht="75" customHeight="1">
      <c r="A21" s="16" t="inlineStr">
        <is>
          <t>SET-020</t>
        </is>
      </c>
      <c r="B21" s="17" t="inlineStr">
        <is>
          <t>Accessibility — Reduce Motion</t>
        </is>
      </c>
      <c r="C21" s="17" t="inlineStr">
        <is>
          <t>Reduce Motion toggle adds/removes the reduce-motion class</t>
        </is>
      </c>
      <c r="D21" s="18" t="inlineStr">
        <is>
          <t>Medium</t>
        </is>
      </c>
      <c r="E21" s="17" t="inlineStr">
        <is>
          <t>Functional</t>
        </is>
      </c>
      <c r="F21" s="17" t="inlineStr">
        <is>
          <t>On /settings with Reduce Motion OFF.</t>
        </is>
      </c>
      <c r="G21" s="17" t="inlineStr">
        <is>
          <t>1. Turn the Reduce Motion switch ON; inspect &lt;html&gt; classes.
2. Turn it OFF again; inspect again.</t>
        </is>
      </c>
      <c r="H21" s="17" t="inlineStr">
        <is>
          <t>N/A</t>
        </is>
      </c>
      <c r="I21" s="17" t="inlineStr">
        <is>
          <t>ON adds the 'reduce-motion' class to document.documentElement; OFF removes it. Switch reflects state. (Visual effect: animations/transitions minimised app-wide where CSS honours the class.)</t>
        </is>
      </c>
      <c r="J21" s="17" t="inlineStr">
        <is>
          <t>N/A</t>
        </is>
      </c>
      <c r="K21" s="14" t="inlineStr"/>
      <c r="L21" s="15" t="inlineStr">
        <is>
          <t>Not Executed</t>
        </is>
      </c>
      <c r="M21" s="15" t="inlineStr"/>
      <c r="N21" s="15" t="inlineStr"/>
      <c r="O21" s="15" t="inlineStr"/>
      <c r="P21" s="14" t="inlineStr"/>
    </row>
    <row r="22" ht="45" customHeight="1">
      <c r="A22" s="11" t="inlineStr">
        <is>
          <t>SET-021</t>
        </is>
      </c>
      <c r="B22" s="12" t="inlineStr">
        <is>
          <t>Accessibility — High Contrast</t>
        </is>
      </c>
      <c r="C22" s="12" t="inlineStr">
        <is>
          <t>High Contrast toggle adds/removes the high-contrast class</t>
        </is>
      </c>
      <c r="D22" s="19" t="inlineStr">
        <is>
          <t>Medium</t>
        </is>
      </c>
      <c r="E22" s="12" t="inlineStr">
        <is>
          <t>Functional</t>
        </is>
      </c>
      <c r="F22" s="12" t="inlineStr">
        <is>
          <t>On /settings with High Contrast OFF.</t>
        </is>
      </c>
      <c r="G22" s="12" t="inlineStr">
        <is>
          <t>1. Turn the High Contrast switch ON; inspect &lt;html&gt; classes.
2. Turn it OFF again; inspect again.</t>
        </is>
      </c>
      <c r="H22" s="12" t="inlineStr">
        <is>
          <t>N/A</t>
        </is>
      </c>
      <c r="I22" s="12" t="inlineStr">
        <is>
          <t>ON adds the 'high-contrast' class to document.documentElement; OFF removes it. Switch reflects state.</t>
        </is>
      </c>
      <c r="J22" s="12" t="inlineStr">
        <is>
          <t>N/A</t>
        </is>
      </c>
      <c r="K22" s="14" t="inlineStr"/>
      <c r="L22" s="15" t="inlineStr">
        <is>
          <t>Not Executed</t>
        </is>
      </c>
      <c r="M22" s="15" t="inlineStr"/>
      <c r="N22" s="15" t="inlineStr"/>
      <c r="O22" s="15" t="inlineStr"/>
      <c r="P22" s="14" t="inlineStr"/>
    </row>
    <row r="23" ht="75" customHeight="1">
      <c r="A23" s="16" t="inlineStr">
        <is>
          <t>SET-022</t>
        </is>
      </c>
      <c r="B23" s="17" t="inlineStr">
        <is>
          <t>Accessibility — Persistence</t>
        </is>
      </c>
      <c r="C23" s="17" t="inlineStr">
        <is>
          <t>Reduce Motion and High Contrast persist across reload</t>
        </is>
      </c>
      <c r="D23" s="18" t="inlineStr">
        <is>
          <t>Medium</t>
        </is>
      </c>
      <c r="E23" s="17" t="inlineStr">
        <is>
          <t>Data Integrity</t>
        </is>
      </c>
      <c r="F23" s="17" t="inlineStr">
        <is>
          <t>On /settings.</t>
        </is>
      </c>
      <c r="G23" s="17" t="inlineStr">
        <is>
          <t>1. Turn Reduce Motion ON and High Contrast ON.
2. Reload the page.
3. Confirm both switches and both &lt;html&gt; classes after reload.</t>
        </is>
      </c>
      <c r="H23" s="17" t="inlineStr">
        <is>
          <t>N/A</t>
        </is>
      </c>
      <c r="I23" s="17" t="inlineStr">
        <is>
          <t>After reload both switches are ON, classes 'reduce-motion' and 'high-contrast' both present on &lt;html&gt;, localStorage 'themeConfig'.reducedMotion === true and .highContrast === true.</t>
        </is>
      </c>
      <c r="J23" s="17" t="inlineStr">
        <is>
          <t>N/A</t>
        </is>
      </c>
      <c r="K23" s="14" t="inlineStr"/>
      <c r="L23" s="15" t="inlineStr">
        <is>
          <t>Not Executed</t>
        </is>
      </c>
      <c r="M23" s="15" t="inlineStr"/>
      <c r="N23" s="15" t="inlineStr"/>
      <c r="O23" s="15" t="inlineStr"/>
      <c r="P23" s="14" t="inlineStr"/>
    </row>
    <row r="24" ht="105" customHeight="1">
      <c r="A24" s="11" t="inlineStr">
        <is>
          <t>SET-023</t>
        </is>
      </c>
      <c r="B24" s="12" t="inlineStr">
        <is>
          <t>Data Integrity — Combined Config</t>
        </is>
      </c>
      <c r="C24" s="12" t="inlineStr">
        <is>
          <t>Changing one preference does not reset the others (single merged config)</t>
        </is>
      </c>
      <c r="D24" s="13" t="inlineStr">
        <is>
          <t>High</t>
        </is>
      </c>
      <c r="E24" s="12" t="inlineStr">
        <is>
          <t>Data Integrity</t>
        </is>
      </c>
      <c r="F24" s="12" t="inlineStr">
        <is>
          <t>On /settings. Set a known mixed baseline: dark ON, font Open Sans, radius large, density compact, reduce-motion ON, high-contrast OFF.</t>
        </is>
      </c>
      <c r="G24" s="12" t="inlineStr">
        <is>
          <t>1. Confirm the baseline above is applied.
2. Now change ONLY the density to 'spacious'.
3. Inspect localStorage 'themeConfig' and all other controls.
4. Reload and re-verify all six values.</t>
        </is>
      </c>
      <c r="H24" s="12" t="inlineStr">
        <is>
          <t>themeConfig mixed baseline</t>
        </is>
      </c>
      <c r="I24" s="12" t="inlineStr">
        <is>
          <t>Only density changes to 'spacious'; theme=dark, font=open-sans, borderRadius=large, reducedMotion=true, highContrast=false remain unchanged in both the UI and the single localStorage 'themeConfig' object. The config is merged, not overwritten. All values survive reload.</t>
        </is>
      </c>
      <c r="J24" s="12" t="inlineStr">
        <is>
          <t>N/A</t>
        </is>
      </c>
      <c r="K24" s="14" t="inlineStr"/>
      <c r="L24" s="15" t="inlineStr">
        <is>
          <t>Not Executed</t>
        </is>
      </c>
      <c r="M24" s="15" t="inlineStr"/>
      <c r="N24" s="15" t="inlineStr"/>
      <c r="O24" s="15" t="inlineStr"/>
      <c r="P24" s="14" t="inlineStr"/>
    </row>
    <row r="25" ht="105" customHeight="1">
      <c r="A25" s="16" t="inlineStr">
        <is>
          <t>SET-024</t>
        </is>
      </c>
      <c r="B25" s="17" t="inlineStr">
        <is>
          <t>Data Integrity — Corruption Handling</t>
        </is>
      </c>
      <c r="C25" s="17" t="inlineStr">
        <is>
          <t>Corrupted themeConfig JSON falls back to defaults without crashing</t>
        </is>
      </c>
      <c r="D25" s="21" t="inlineStr">
        <is>
          <t>High</t>
        </is>
      </c>
      <c r="E25" s="17" t="inlineStr">
        <is>
          <t>Negative</t>
        </is>
      </c>
      <c r="F25" s="17" t="inlineStr">
        <is>
          <t>Logged in; DevTools available.</t>
        </is>
      </c>
      <c r="G25" s="17" t="inlineStr">
        <is>
          <t>1. In DevTools, set localStorage 'themeConfig' to an invalid value, e.g. the string 'not-json{' .
2. Reload /settings.
3. Observe the page and console.</t>
        </is>
      </c>
      <c r="H25" s="17" t="inlineStr">
        <is>
          <t>themeConfig = 'not-json{'</t>
        </is>
      </c>
      <c r="I25" s="17" t="inlineStr">
        <is>
          <t>Page still loads (no white screen / crash). A console error 'Failed to parse theme config:' is logged and the app falls back to DEFAULT_CONFIG: theme follows system, font=inter, borderRadius=medium, density=comfortable, reducedMotion=false, highContrast=false. Controls reflect these defaults.</t>
        </is>
      </c>
      <c r="J25" s="17" t="inlineStr">
        <is>
          <t>N/A</t>
        </is>
      </c>
      <c r="K25" s="14" t="inlineStr"/>
      <c r="L25" s="15" t="inlineStr">
        <is>
          <t>Not Executed</t>
        </is>
      </c>
      <c r="M25" s="15" t="inlineStr"/>
      <c r="N25" s="15" t="inlineStr"/>
      <c r="O25" s="15" t="inlineStr"/>
      <c r="P25" s="14" t="inlineStr"/>
    </row>
    <row r="26" ht="90" customHeight="1">
      <c r="A26" s="11" t="inlineStr">
        <is>
          <t>SET-025</t>
        </is>
      </c>
      <c r="B26" s="12" t="inlineStr">
        <is>
          <t>Data Integrity — Partial Config</t>
        </is>
      </c>
      <c r="C26" s="12" t="inlineStr">
        <is>
          <t>Partial themeConfig is merged onto defaults for missing keys</t>
        </is>
      </c>
      <c r="D26" s="19" t="inlineStr">
        <is>
          <t>Medium</t>
        </is>
      </c>
      <c r="E26" s="12" t="inlineStr">
        <is>
          <t>Edge Case</t>
        </is>
      </c>
      <c r="F26" s="12" t="inlineStr">
        <is>
          <t>Logged in; DevTools available.</t>
        </is>
      </c>
      <c r="G26" s="12" t="inlineStr">
        <is>
          <t>1. Set localStorage 'themeConfig' to a partial object, e.g. {"theme":"dark"} (no font/radius/density/accessibility keys).
2. Reload /settings.
3. Inspect every control.</t>
        </is>
      </c>
      <c r="H26" s="12" t="inlineStr">
        <is>
          <t>themeConfig = {"theme":"dark"}</t>
        </is>
      </c>
      <c r="I26" s="12" t="inlineStr">
        <is>
          <t>theme applies as dark, and all missing keys take defaults (font=inter, borderRadius=medium, density=comfortable, reducedMotion=false, highContrast=false). No crash; stored config is re-saved as the full merged object after first change.</t>
        </is>
      </c>
      <c r="J26" s="12" t="inlineStr">
        <is>
          <t>N/A</t>
        </is>
      </c>
      <c r="K26" s="14" t="inlineStr"/>
      <c r="L26" s="15" t="inlineStr">
        <is>
          <t>Not Executed</t>
        </is>
      </c>
      <c r="M26" s="15" t="inlineStr"/>
      <c r="N26" s="15" t="inlineStr"/>
      <c r="O26" s="15" t="inlineStr"/>
      <c r="P26" s="14" t="inlineStr"/>
    </row>
    <row r="27" ht="105" customHeight="1">
      <c r="A27" s="16" t="inlineStr">
        <is>
          <t>SET-026</t>
        </is>
      </c>
      <c r="B27" s="17" t="inlineStr">
        <is>
          <t>Accessibility / Keyboard</t>
        </is>
      </c>
      <c r="C27" s="17" t="inlineStr">
        <is>
          <t>Switches are keyboard-operable and labels are correctly associated</t>
        </is>
      </c>
      <c r="D27" s="18" t="inlineStr">
        <is>
          <t>Medium</t>
        </is>
      </c>
      <c r="E27" s="17" t="inlineStr">
        <is>
          <t>UI/UX</t>
        </is>
      </c>
      <c r="F27" s="17" t="inlineStr">
        <is>
          <t>On /settings.</t>
        </is>
      </c>
      <c r="G27" s="17" t="inlineStr">
        <is>
          <t>1. Tab through the page to reach the Dark Mode switch.
2. Press Space/Enter to toggle it.
3. Click the 'Dark Mode' text label and confirm it toggles the switch (htmlFor association).
4. Repeat focus + Space on Reduce Motion and High Contrast switches.</t>
        </is>
      </c>
      <c r="H27" s="17" t="inlineStr">
        <is>
          <t>N/A</t>
        </is>
      </c>
      <c r="I27" s="17" t="inlineStr">
        <is>
          <t>Each switch is reachable via Tab, shows a visible focus ring, and toggles with Space/Enter. Clicking a Label (Dark Mode / Reduce Motion / High Contrast) toggles its associated switch because htmlFor matches the switch id (dark-mode, reduced-motion, high-contrast).</t>
        </is>
      </c>
      <c r="J27" s="17" t="inlineStr">
        <is>
          <t>N/A</t>
        </is>
      </c>
      <c r="K27" s="14" t="inlineStr"/>
      <c r="L27" s="15" t="inlineStr">
        <is>
          <t>Not Executed</t>
        </is>
      </c>
      <c r="M27" s="15" t="inlineStr"/>
      <c r="N27" s="15" t="inlineStr"/>
      <c r="O27" s="15" t="inlineStr"/>
      <c r="P27" s="14" t="inlineStr"/>
    </row>
    <row r="28" ht="75" customHeight="1">
      <c r="A28" s="16" t="inlineStr">
        <is>
          <t>SET-027</t>
        </is>
      </c>
      <c r="B28" s="17" t="inlineStr">
        <is>
          <t>Accessibility / Keyboard</t>
        </is>
      </c>
      <c r="C28" s="17" t="inlineStr">
        <is>
          <t>Font / Border Radius / Density option buttons are keyboard-focusable and operable</t>
        </is>
      </c>
      <c r="D28" s="22" t="inlineStr">
        <is>
          <t>Low</t>
        </is>
      </c>
      <c r="E28" s="17" t="inlineStr">
        <is>
          <t>UI/UX</t>
        </is>
      </c>
      <c r="F28" s="17" t="inlineStr">
        <is>
          <t>On /settings.</t>
        </is>
      </c>
      <c r="G28" s="17" t="inlineStr">
        <is>
          <t>1. Tab to a font option button and press Enter/Space.
2. Repeat for a Border Radius and a Density option button.</t>
        </is>
      </c>
      <c r="H28" s="17" t="inlineStr">
        <is>
          <t>N/A</t>
        </is>
      </c>
      <c r="I28" s="17" t="inlineStr">
        <is>
          <t>Each option is a real &lt;button&gt;, focusable via Tab with a visible focus state, and selecting via Enter/Space applies the preference and updates the highlight — equivalent to a mouse click.</t>
        </is>
      </c>
      <c r="J28" s="17" t="inlineStr">
        <is>
          <t>N/A</t>
        </is>
      </c>
      <c r="K28" s="14" t="inlineStr"/>
      <c r="L28" s="15" t="inlineStr">
        <is>
          <t>Not Executed</t>
        </is>
      </c>
      <c r="M28" s="15" t="inlineStr"/>
      <c r="N28" s="15" t="inlineStr"/>
      <c r="O28" s="15" t="inlineStr"/>
      <c r="P28" s="14" t="inlineStr"/>
    </row>
    <row r="29" ht="90" customHeight="1">
      <c r="A29" s="11" t="inlineStr">
        <is>
          <t>SET-028</t>
        </is>
      </c>
      <c r="B29" s="12" t="inlineStr">
        <is>
          <t>Offline / Resilience</t>
        </is>
      </c>
      <c r="C29" s="12" t="inlineStr">
        <is>
          <t>All preference controls work with no network connectivity</t>
        </is>
      </c>
      <c r="D29" s="20" t="inlineStr">
        <is>
          <t>Low</t>
        </is>
      </c>
      <c r="E29" s="12" t="inlineStr">
        <is>
          <t>Edge Case</t>
        </is>
      </c>
      <c r="F29" s="12" t="inlineStr">
        <is>
          <t>On /settings.</t>
        </is>
      </c>
      <c r="G29" s="12" t="inlineStr">
        <is>
          <t>1. Set DevTools Network to Offline (or disable Wi-Fi).
2. Toggle dark mode, change font/radius/density, toggle accessibility switches.
3. Reload the page while offline (from cache) if the app is a SPA already loaded.</t>
        </is>
      </c>
      <c r="H29" s="12" t="inlineStr">
        <is>
          <t>N/A</t>
        </is>
      </c>
      <c r="I29" s="12" t="inlineStr">
        <is>
          <t>Every preference change works and persists to localStorage with no errors, because the page issues no network requests. (External Google Font may fail to fetch while offline and fall back to the next font in the stack, which is acceptable.)</t>
        </is>
      </c>
      <c r="J29" s="12" t="inlineStr">
        <is>
          <t>N/A</t>
        </is>
      </c>
      <c r="K29" s="14" t="inlineStr"/>
      <c r="L29" s="15" t="inlineStr">
        <is>
          <t>Not Executed</t>
        </is>
      </c>
      <c r="M29" s="15" t="inlineStr"/>
      <c r="N29" s="15" t="inlineStr"/>
      <c r="O29" s="15" t="inlineStr"/>
      <c r="P29" s="14" t="inlineStr"/>
    </row>
    <row r="30" ht="75" customHeight="1">
      <c r="A30" s="16" t="inlineStr">
        <is>
          <t>SET-029</t>
        </is>
      </c>
      <c r="B30" s="17" t="inlineStr">
        <is>
          <t>Route Guard &amp; Session</t>
        </is>
      </c>
      <c r="C30" s="17" t="inlineStr">
        <is>
          <t>Unauthenticated access to /settings redirects to login</t>
        </is>
      </c>
      <c r="D30" s="21" t="inlineStr">
        <is>
          <t>High</t>
        </is>
      </c>
      <c r="E30" s="17" t="inlineStr">
        <is>
          <t>Permission</t>
        </is>
      </c>
      <c r="F30" s="17" t="inlineStr">
        <is>
          <t>No valid session (clear localStorage access_token / refresh_token / user, or open in a logged-out profile).</t>
        </is>
      </c>
      <c r="G30" s="17" t="inlineStr">
        <is>
          <t>1. Directly enter the URL /settings.
2. Observe routing behaviour.</t>
        </is>
      </c>
      <c r="H30" s="17" t="inlineStr">
        <is>
          <t>N/A</t>
        </is>
      </c>
      <c r="I30" s="17" t="inlineStr">
        <is>
          <t>ProtectedRoute sees no user and redirects (Navigate replace) to /login. The Settings page is not rendered. After logging in, navigating to /settings succeeds.</t>
        </is>
      </c>
      <c r="J30" s="17" t="inlineStr">
        <is>
          <t>GET /api/auth/me</t>
        </is>
      </c>
      <c r="K30" s="14" t="inlineStr"/>
      <c r="L30" s="15" t="inlineStr">
        <is>
          <t>Not Executed</t>
        </is>
      </c>
      <c r="M30" s="15" t="inlineStr"/>
      <c r="N30" s="15" t="inlineStr"/>
      <c r="O30" s="15" t="inlineStr"/>
      <c r="P30" s="14" t="inlineStr"/>
    </row>
    <row r="31" ht="75" customHeight="1">
      <c r="A31" s="16" t="inlineStr">
        <is>
          <t>SET-030</t>
        </is>
      </c>
      <c r="B31" s="17" t="inlineStr">
        <is>
          <t>Route Guard &amp; Session</t>
        </is>
      </c>
      <c r="C31" s="17" t="inlineStr">
        <is>
          <t>Settings is accessible to every authenticated role (no permission gate)</t>
        </is>
      </c>
      <c r="D31" s="21" t="inlineStr">
        <is>
          <t>High</t>
        </is>
      </c>
      <c r="E31" s="17" t="inlineStr">
        <is>
          <t>Permission</t>
        </is>
      </c>
      <c r="F31" s="17" t="inlineStr">
        <is>
          <t>Separate sessions for admin, data_entry and viewer users.</t>
        </is>
      </c>
      <c r="G31" s="17" t="inlineStr">
        <is>
          <t>1. Log in as an admin and open /settings; confirm it renders.
2. Log out, log in as a data_entry user, open /settings; confirm it renders.
3. Repeat for a viewer user.</t>
        </is>
      </c>
      <c r="H31" s="17" t="inlineStr">
        <is>
          <t>admin / data_entry / viewer</t>
        </is>
      </c>
      <c r="I31" s="17" t="inlineStr">
        <is>
          <t>All three roles can open /settings and see all five sections — there is no 'Access Denied' screen, because the route and the sidebar nav entry carry permission: null / no requiredRole.</t>
        </is>
      </c>
      <c r="J31" s="17" t="inlineStr">
        <is>
          <t>N/A</t>
        </is>
      </c>
      <c r="K31" s="14" t="inlineStr"/>
      <c r="L31" s="15" t="inlineStr">
        <is>
          <t>Not Executed</t>
        </is>
      </c>
      <c r="M31" s="15" t="inlineStr"/>
      <c r="N31" s="15" t="inlineStr"/>
      <c r="O31" s="15" t="inlineStr"/>
      <c r="P31" s="14" t="inlineStr"/>
    </row>
    <row r="32" ht="135" customHeight="1">
      <c r="A32" s="16" t="inlineStr">
        <is>
          <t>SET-031</t>
        </is>
      </c>
      <c r="B32" s="17" t="inlineStr">
        <is>
          <t>Route Guard &amp; Session</t>
        </is>
      </c>
      <c r="C32" s="17" t="inlineStr">
        <is>
          <t>Expired access token while on /settings triggers refresh-and-retry, then /login on failure</t>
        </is>
      </c>
      <c r="D32" s="18" t="inlineStr">
        <is>
          <t>Medium</t>
        </is>
      </c>
      <c r="E32" s="17" t="inlineStr">
        <is>
          <t>Negative</t>
        </is>
      </c>
      <c r="F32" s="17" t="inlineStr">
        <is>
          <t>Logged in on /settings.</t>
        </is>
      </c>
      <c r="G32" s="17" t="inlineStr">
        <is>
          <t>1. In DevTools, corrupt/expire the access_token in localStorage.
2. Trigger any authenticated request that runs while the app is active (e.g. navigate to a data screen, or let AuthContext re-verify) so a 401 is returned.
3. Also invalidate the refresh_token and repeat to force refresh failure.</t>
        </is>
      </c>
      <c r="H32" s="17" t="inlineStr">
        <is>
          <t>N/A</t>
        </is>
      </c>
      <c r="I32" s="17" t="inlineStr">
        <is>
          <t>On a 401 the axios interceptor attempts a one-time refresh via /api/auth/refresh; if it succeeds the request retries transparently and the user stays in the app. If refresh fails, localStorage tokens/user are cleared and the browser hard-redirects to /login. The Settings appearance preferences in 'themeConfig' are NOT cleared by logout (they are separate from auth tokens).</t>
        </is>
      </c>
      <c r="J32" s="17" t="inlineStr">
        <is>
          <t>POST /api/auth/refresh</t>
        </is>
      </c>
      <c r="K32" s="14" t="inlineStr"/>
      <c r="L32" s="15" t="inlineStr">
        <is>
          <t>Not Executed</t>
        </is>
      </c>
      <c r="M32" s="15" t="inlineStr"/>
      <c r="N32" s="15" t="inlineStr"/>
      <c r="O32" s="15" t="inlineStr"/>
      <c r="P32" s="14" t="inlineStr"/>
    </row>
    <row r="33" ht="120" customHeight="1">
      <c r="A33" s="11" t="inlineStr">
        <is>
          <t>SET-032</t>
        </is>
      </c>
      <c r="B33" s="12" t="inlineStr">
        <is>
          <t>Preference Scope / Account Independence</t>
        </is>
      </c>
      <c r="C33" s="12" t="inlineStr">
        <is>
          <t>Appearance preferences are per-browser, not per-user-account (documented behaviour)</t>
        </is>
      </c>
      <c r="D33" s="19" t="inlineStr">
        <is>
          <t>Medium</t>
        </is>
      </c>
      <c r="E33" s="12" t="inlineStr">
        <is>
          <t>Data Integrity</t>
        </is>
      </c>
      <c r="F33" s="12" t="inlineStr">
        <is>
          <t>Two different user accounts; one browser profile.</t>
        </is>
      </c>
      <c r="G33" s="12" t="inlineStr">
        <is>
          <t>1. Log in as User A, set Dark Mode ON + font Open Sans, then log out.
2. Log in as User B in the same browser and open /settings.
3. Then log in as User A on a DIFFERENT device/profile and open /settings.</t>
        </is>
      </c>
      <c r="H33" s="12" t="inlineStr">
        <is>
          <t>User A and User B</t>
        </is>
      </c>
      <c r="I33" s="12" t="inlineStr">
        <is>
          <t>Same browser: User B inherits User A's dark + Open Sans settings (they live in shared localStorage, not the account). Different device: User A sees defaults (no themeConfig there). This confirms preferences are intentionally browser-scoped and NOT synced to the backend. Flag as a product note if account-level sync was expected.</t>
        </is>
      </c>
      <c r="J33" s="12" t="inlineStr">
        <is>
          <t>N/A</t>
        </is>
      </c>
      <c r="K33" s="14" t="inlineStr"/>
      <c r="L33" s="15" t="inlineStr">
        <is>
          <t>Not Executed</t>
        </is>
      </c>
      <c r="M33" s="15" t="inlineStr"/>
      <c r="N33" s="15" t="inlineStr"/>
      <c r="O33" s="15" t="inlineStr"/>
      <c r="P33" s="14" t="inlineStr"/>
    </row>
    <row r="34" ht="150" customHeight="1">
      <c r="A34" s="16" t="inlineStr">
        <is>
          <t>SET-033</t>
        </is>
      </c>
      <c r="B34" s="17" t="inlineStr">
        <is>
          <t>Not-Implemented Verification</t>
        </is>
      </c>
      <c r="C34" s="17" t="inlineStr">
        <is>
          <t>Confirm Settings page has NO profile, password, notification, organization or logout controls</t>
        </is>
      </c>
      <c r="D34" s="21" t="inlineStr">
        <is>
          <t>High</t>
        </is>
      </c>
      <c r="E34" s="17" t="inlineStr">
        <is>
          <t>Functional</t>
        </is>
      </c>
      <c r="F34" s="17" t="inlineStr">
        <is>
          <t>On /settings as any user.</t>
        </is>
      </c>
      <c r="G34" s="17" t="inlineStr">
        <is>
          <t>1. Scroll the entire page top to bottom.
2. Look specifically for: a profile/edit form (name/email/phone), a Change Password form, notification preference toggles, organization/system settings, and a Logout button.</t>
        </is>
      </c>
      <c r="H34" s="17" t="inlineStr">
        <is>
          <t>N/A</t>
        </is>
      </c>
      <c r="I34" s="17" t="inlineStr">
        <is>
          <t>None of these exist on the Settings page — only the five appearance/preference sections are present. This is expected per the current build. (Logout, profile and password management, if needed, are handled outside this page / in the Auth &amp; Users modules. There is no change-password endpoint in the backend at all.) Record as PASS if all five appearance sections are present and none of the listed extra controls appear.</t>
        </is>
      </c>
      <c r="J34" s="17" t="inlineStr">
        <is>
          <t>N/A</t>
        </is>
      </c>
      <c r="K34" s="14" t="inlineStr"/>
      <c r="L34" s="15" t="inlineStr">
        <is>
          <t>Not Executed</t>
        </is>
      </c>
      <c r="M34" s="15" t="inlineStr"/>
      <c r="N34" s="15" t="inlineStr"/>
      <c r="O34" s="15" t="inlineStr"/>
      <c r="P34" s="14" t="inlineStr"/>
    </row>
  </sheetData>
  <autoFilter ref="A1:P34"/>
  <conditionalFormatting sqref="L2:L3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34" showDropDown="0" showInputMessage="0" showErrorMessage="0" allowBlank="1" type="list">
      <formula1>"Not Executed,Pass,Fail,Blocked,N/A"</formula1>
    </dataValidation>
    <dataValidation sqref="M2:M34"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2026-06-01T12:52:18Z</dcterms:modified>
</cp:coreProperties>
</file>