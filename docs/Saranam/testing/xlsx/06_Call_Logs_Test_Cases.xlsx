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Info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Cases'!$A$1:$P$85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b val="1"/>
      <color rgb="009C0006"/>
      <sz val="9"/>
    </font>
    <font>
      <b val="1"/>
      <color rgb="009C6500"/>
      <sz val="9"/>
    </font>
    <font>
      <b val="1"/>
      <color rgb="00375623"/>
      <sz val="9"/>
    </font>
    <font>
      <b val="1"/>
      <color rgb="00FFFFFF"/>
      <sz val="14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C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8" fillId="5" borderId="0" pivotButton="0" quotePrefix="0" xfId="0"/>
    <xf numFmtId="0" fontId="9" fillId="0" borderId="0" pivotButton="0" quotePrefix="0" xfId="0"/>
    <xf numFmtId="164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color rgb="00595959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6" customHeight="1">
      <c r="A1" s="1" t="inlineStr">
        <is>
          <t>Call Logs  —  Manual Test Plan</t>
        </is>
      </c>
    </row>
    <row r="2" ht="18" customHeight="1">
      <c r="A2" s="2" t="inlineStr">
        <is>
          <t>Platform</t>
        </is>
      </c>
      <c r="B2" s="3" t="inlineStr">
        <is>
          <t>Saranam India Health Care  (https://saranam.fieldintel.ai)</t>
        </is>
      </c>
    </row>
    <row r="3" ht="18" customHeight="1">
      <c r="A3" s="2" t="inlineStr">
        <is>
          <t>Module Code</t>
        </is>
      </c>
      <c r="B3" s="3" t="inlineStr">
        <is>
          <t>CL</t>
        </is>
      </c>
    </row>
    <row r="4" ht="18" customHeight="1">
      <c r="A4" s="2" t="inlineStr">
        <is>
          <t>Document Version</t>
        </is>
      </c>
      <c r="B4" s="3" t="inlineStr">
        <is>
          <t>1.0</t>
        </is>
      </c>
    </row>
    <row r="5" ht="18" customHeight="1">
      <c r="A5" s="2" t="inlineStr">
        <is>
          <t>Total Test Cases</t>
        </is>
      </c>
      <c r="B5" s="3" t="inlineStr">
        <is>
          <t>84</t>
        </is>
      </c>
    </row>
    <row r="6" ht="18" customHeight="1">
      <c r="A6" s="2" t="inlineStr">
        <is>
          <t>Test Type</t>
        </is>
      </c>
      <c r="B6" s="3" t="inlineStr">
        <is>
          <t>Manual</t>
        </is>
      </c>
    </row>
    <row r="7" ht="18" customHeight="1">
      <c r="A7" s="2" t="inlineStr">
        <is>
          <t>Prepared / Reviewed</t>
        </is>
      </c>
      <c r="B7" s="3" t="inlineStr">
        <is>
          <t>____________________     Date: ____________</t>
        </is>
      </c>
    </row>
    <row r="9" ht="26" customHeight="1">
      <c r="A9" s="1" t="inlineStr">
        <is>
          <t>1. Scope</t>
        </is>
      </c>
    </row>
    <row r="10" ht="150" customHeight="1">
      <c r="A10" s="2" t="inlineStr">
        <is>
          <t>Summary</t>
        </is>
      </c>
      <c r="B10" s="3" t="inlineStr">
        <is>
          <t>GO-LIVE manual test pack for the Call Logs / Smart Outreach module of Saranam India Health Care. The module is rendered by CallLogsPage and is an admin-only outbound communication hub built on the Exotel telephony API. It contains four primary tabs: Dial (priority outreach queue + staff registry sidebar + live Call HUD), History (call logs from Exotel + SOP documentation history), Escalated (persisted SOP escalations), and Scheduler (persistent outreach schedule with auto-generate). It also includes a SOP documentation modal, a per-agent on-duty toggle, and an EmailModal component (orphaned in code, see defects). All API calls go through axios apiClient with baseURL VITE_API_URL (default http://localhost:5000/api) and a Bearer access_token request interceptor; a 401 triggers a token-refresh-then-retry, and if refresh fails the user is redirected to /login.</t>
        </is>
      </c>
    </row>
    <row r="11" ht="160" customHeight="1">
      <c r="A11" s="2" t="inlineStr">
        <is>
          <t>In Scope</t>
        </is>
      </c>
      <c r="B11" s="3" t="inlineStr">
        <is>
          <t>• Permission / route guard: admin-only access to /call-logs and visibility of the sidebar 'Call Logs' item
• Dial tab: priority outreach queue (OutreachQueueView), patient search, pagination, status badges, call/caregiver dropdown, schedule-for-later popover, manual SOP open
• Staff Registry sidebar (StaffSidebar): on-duty toggle, available count, busy state, pagination, empty state
• Live Call HUD (CallHUD): live session list, expand/collapse, document (SOP) and end-session actions, call-status polling
• Initiating a call (Exotel make-call) including from/to derivation, no-available-staff guard, missing-number guard, 403 credential error
• SOP documentation modal: capture severity/relationship/reason/symptoms/advice/notes, escalate flag, save, view existing SOP
• History tab: Call Logs sub-tab (Exotel calls list, recording playback, status colours, empty/error states, stat cards), SOP Documentation sub-tab (paginated history), date-range filter, refresh, export
• Escalated tab: persisted escalations list, severity colour bar, HomeCare action, Follow Up scheduling popover, Dismiss
• Scheduler tab: persistent schedule list, add to schedule, remove, auto-generate weekly plan, empty state
• EmailModal: compose subject/body, required-field disabling, send, cancel (tested at component/intended level — see orphaned-component defect)
• API-level validation of every endpoint in api/call-log.js and backend/app/call_logs/routes.py with payloads and 2xx/4xx/5xx handling
• Data integrity: SOP appears in history and against patient; escalation flag surfaces in Escalated; schedule add/remove reflects in list</t>
        </is>
      </c>
    </row>
    <row r="12" ht="160" customHeight="1">
      <c r="A12" s="2" t="inlineStr">
        <is>
          <t>Out of Scope</t>
        </is>
      </c>
      <c r="B12" s="3" t="inlineStr">
        <is>
          <t>• Exotel telephony internals, actual voice connectivity, recording generation, and Exotel-side billing
• Inbound routing webhook (/api/exotel/inbound) behaviour from Exotel's side (server-to-server, not user-facing UI)
• Patients module CRUD, Providers module CRUD (validated only as data dependencies)
• SMTP server provisioning and email deliverability (only the send-email request/response contract is in scope)
• Backend unit tests, load/performance testing, and penetration testing
• HomeCare referral routing (handleEscalateToHomeCare is a client-only stub with a TODO; no API call is made)</t>
        </is>
      </c>
    </row>
    <row r="14" ht="26" customHeight="1">
      <c r="A14" s="1" t="inlineStr">
        <is>
          <t>2. Roles &amp; Access</t>
        </is>
      </c>
    </row>
    <row r="15" ht="150" customHeight="1">
      <c r="A15" s="2" t="inlineStr">
        <is>
          <t>Access</t>
        </is>
      </c>
      <c r="B15" s="3" t="inlineStr">
        <is>
          <t>The /call-logs route is wrapped in ProtectedRoute requiredRole='admin'. hasRole(role) returns user?.role === role, so ONLY a user whose role is exactly 'admin' may render CallLogsPage; any other role (data_entry, viewer) sees a full-page 'Access Denied' message, and an unauthenticated user is redirected to /login. NOTE (defect): the DashboardLayout sidebar item {name:'Call Logs', href:'/call-logs', permission:null} is filtered by `!item.permission || hasPermission(item.permission)`; because permission is null the item is ALWAYS shown, so it is NOT hidden for non-admins (they see it but are blocked on click). API auth is inconsistent: /api/exotel/agents, /agent-status, /sop, /sop/history, /scheduler (all methods), /scheduler/auto-generate and /send-email require @jwt_required(); but /api/exotel/calls, /make-call, /call-status/&lt;sid&gt; and /inbound have NO JWT guard and are publicly reachable.</t>
        </is>
      </c>
    </row>
    <row r="17" ht="26" customHeight="1">
      <c r="A17" s="1" t="inlineStr">
        <is>
          <t>3. Screens &amp; Routes</t>
        </is>
      </c>
    </row>
    <row r="18" ht="18" customHeight="1">
      <c r="A18" s="2" t="inlineStr">
        <is>
          <t>Call Logs / Smart Outreach - Dial tab</t>
        </is>
      </c>
      <c r="B18" s="3" t="inlineStr">
        <is>
          <t>/call-logs</t>
        </is>
      </c>
    </row>
    <row r="19" ht="18" customHeight="1">
      <c r="A19" s="2" t="inlineStr">
        <is>
          <t>Call Logs / Smart Outreach - History tab (Call Logs + SOP Documentation sub-tabs)</t>
        </is>
      </c>
      <c r="B19" s="3" t="inlineStr">
        <is>
          <t>/call-logs</t>
        </is>
      </c>
    </row>
    <row r="20" ht="18" customHeight="1">
      <c r="A20" s="2" t="inlineStr">
        <is>
          <t>Call Logs / Smart Outreach - Escalated tab</t>
        </is>
      </c>
      <c r="B20" s="3" t="inlineStr">
        <is>
          <t>/call-logs</t>
        </is>
      </c>
    </row>
    <row r="21" ht="18" customHeight="1">
      <c r="A21" s="2" t="inlineStr">
        <is>
          <t>Call Logs / Smart Outreach - Scheduler tab</t>
        </is>
      </c>
      <c r="B21" s="3" t="inlineStr">
        <is>
          <t>/call-logs</t>
        </is>
      </c>
    </row>
    <row r="22" ht="18" customHeight="1">
      <c r="A22" s="2" t="inlineStr">
        <is>
          <t>SOP Documentation Modal (overlay)</t>
        </is>
      </c>
      <c r="B22" s="3" t="inlineStr">
        <is>
          <t>/call-logs</t>
        </is>
      </c>
    </row>
    <row r="23" ht="18" customHeight="1">
      <c r="A23" s="2" t="inlineStr">
        <is>
          <t>Live Call HUD (fixed overlay, bottom-right)</t>
        </is>
      </c>
      <c r="B23" s="3" t="inlineStr">
        <is>
          <t>/call-logs</t>
        </is>
      </c>
    </row>
    <row r="24" ht="18" customHeight="1">
      <c r="A24" s="2" t="inlineStr">
        <is>
          <t>Email Modal (component, not currently mounted)</t>
        </is>
      </c>
      <c r="B24" s="3" t="inlineStr">
        <is>
          <t>/call-logs</t>
        </is>
      </c>
    </row>
    <row r="26" ht="26" customHeight="1">
      <c r="A26" s="1" t="inlineStr">
        <is>
          <t>4. API Endpoints</t>
        </is>
      </c>
    </row>
    <row r="27" ht="30" customHeight="1">
      <c r="A27" s="2" t="inlineStr">
        <is>
          <t>GET  /api/exotel/calls</t>
        </is>
      </c>
      <c r="B27" s="3" t="inlineStr">
        <is>
          <t>List Exotel call logs; query params start_date, end_date. Returns {Calls:[...]}. NO JWT guard. 500 {error} on Exotel failure.</t>
        </is>
      </c>
    </row>
    <row r="28" ht="30" customHeight="1">
      <c r="A28" s="2" t="inlineStr">
        <is>
          <t>POST  /api/exotel/make-call</t>
        </is>
      </c>
      <c r="B28" s="3" t="inlineStr">
        <is>
          <t>Initiate outbound call. Body {from,to,patient_name,provider_name}. 400 if from/to missing; passes through Exotel status (e.g. 403 invalid creds), 500 on request exception. NO JWT guard.</t>
        </is>
      </c>
    </row>
    <row r="29" ht="30" customHeight="1">
      <c r="A29" s="2" t="inlineStr">
        <is>
          <t>GET  /api/exotel/call-status/{call_sid}</t>
        </is>
      </c>
      <c r="B29" s="3" t="inlineStr">
        <is>
          <t>Fetch live status of a call SID. Returns {Call:{Status,...}}. Passes through Exotel error code, else 500. NO JWT guard.</t>
        </is>
      </c>
    </row>
    <row r="30" ht="30" customHeight="1">
      <c r="A30" s="2" t="inlineStr">
        <is>
          <t>GET  /api/exotel/agents</t>
        </is>
      </c>
      <c r="B30" s="3" t="inlineStr">
        <is>
          <t>List active providers joined with persistent on-duty status (is_on_duty mapped to active). JWT required (401 if missing). 200 array.</t>
        </is>
      </c>
    </row>
    <row r="31" ht="30" customHeight="1">
      <c r="A31" s="2" t="inlineStr">
        <is>
          <t>PUT  /api/exotel/agent-status</t>
        </is>
      </c>
      <c r="B31" s="3" t="inlineStr">
        <is>
          <t>Set agent on-duty status. Body {provider_id,is_on_duty}. 400 if either missing; 200 on success. JWT required.</t>
        </is>
      </c>
    </row>
    <row r="32" ht="18" customHeight="1">
      <c r="A32" s="2" t="inlineStr">
        <is>
          <t>GET  /api/exotel/sop</t>
        </is>
      </c>
      <c r="B32" s="3" t="inlineStr">
        <is>
          <t>List escalated SOP records. Returns {escalations:[...]}. JWT required. 200.</t>
        </is>
      </c>
    </row>
    <row r="33" ht="30" customHeight="1">
      <c r="A33" s="2" t="inlineStr">
        <is>
          <t>POST  /api/exotel/sop</t>
        </is>
      </c>
      <c r="B33" s="3" t="inlineStr">
        <is>
          <t>Save SOP documentation for a call. Body is full SOP payload incl. patient_id, severity, escalate, etc. 201 on success. JWT required.</t>
        </is>
      </c>
    </row>
    <row r="34" ht="30" customHeight="1">
      <c r="A34" s="2" t="inlineStr">
        <is>
          <t>GET  /api/exotel/sop/history</t>
        </is>
      </c>
      <c r="B34" s="3" t="inlineStr">
        <is>
          <t>Paginated SOP documentation history. Query start_date,end_date,page,per_page. Returns {items:[...],total}. JWT required. 200.</t>
        </is>
      </c>
    </row>
    <row r="35" ht="30" customHeight="1">
      <c r="A35" s="2" t="inlineStr">
        <is>
          <t>GET  /api/exotel/scheduler</t>
        </is>
      </c>
      <c r="B35" s="3" t="inlineStr">
        <is>
          <t>List persistent scheduled outreach calls. Query start_date,end_date. Returns {schedule:[...]}. JWT required. 200.</t>
        </is>
      </c>
    </row>
    <row r="36" ht="30" customHeight="1">
      <c r="A36" s="2" t="inlineStr">
        <is>
          <t>POST  /api/exotel/scheduler</t>
        </is>
      </c>
      <c r="B36" s="3" t="inlineStr">
        <is>
          <t>Add patient to outreach schedule. Body {patient_id,scheduled_date,notes}. 400 if patient_id or scheduled_date missing; 201 on success. JWT required.</t>
        </is>
      </c>
    </row>
    <row r="37" ht="30" customHeight="1">
      <c r="A37" s="2" t="inlineStr">
        <is>
          <t>DELETE  /api/exotel/scheduler/{schedule_id}</t>
        </is>
      </c>
      <c r="B37" s="3" t="inlineStr">
        <is>
          <t>Remove a schedule record by UUID. 200 on success; 404 if not found; route expects a valid uuid (non-uuid path = 404 routing). JWT required.</t>
        </is>
      </c>
    </row>
    <row r="38" ht="18" customHeight="1">
      <c r="A38" s="2" t="inlineStr">
        <is>
          <t>POST  /api/exotel/scheduler/auto-generate</t>
        </is>
      </c>
      <c r="B38" s="3" t="inlineStr">
        <is>
          <t>Auto-generate next-week outreach plan. No body. 201 on success. JWT required.</t>
        </is>
      </c>
    </row>
    <row r="39" ht="45" customHeight="1">
      <c r="A39" s="2" t="inlineStr">
        <is>
          <t>POST  /api/exotel/send-email</t>
        </is>
      </c>
      <c r="B39" s="3" t="inlineStr">
        <is>
          <t>Send follow-up email to a patient. Body {patient_id,subject,body}. 400 if any missing; 404 if patient/email not found; 400 if no email on file; 500 if SMTP not configured; 200 on success. JWT required. (UI caller is orphaned — see defects.)</t>
        </is>
      </c>
    </row>
    <row r="40" ht="18" customHeight="1">
      <c r="A40" s="2" t="inlineStr">
        <is>
          <t>GET/POST  /api/exotel/inbound</t>
        </is>
      </c>
      <c r="B40" s="3" t="inlineStr">
        <is>
          <t>Exotel dynamic-routing webhook (server-to-server). Out of UI scope; listed for completeness.</t>
        </is>
      </c>
    </row>
    <row r="42" ht="26" customHeight="1">
      <c r="A42" s="1" t="inlineStr">
        <is>
          <t>5. Test Data / Preconditions</t>
        </is>
      </c>
    </row>
    <row r="43" ht="160" customHeight="1">
      <c r="A43" s="2" t="inlineStr">
        <is>
          <t>Setup</t>
        </is>
      </c>
      <c r="B43" s="3" t="inlineStr">
        <is>
          <t>• Admin user (role='admin') with valid credentials, e.g. admin@saranam.test, to access /call-logs.
• A non-admin user (role='data_entry' or 'viewer') to verify Access Denied.
• At least 12 patients so pagination (PER_PAGE=10) produces 2 pages. Include: a patient with NO last_call_date (expect 'NEVER CONTACTED'), one called today (expect 'CONTACTED TODAY'), one called ~3 days ago (expect 'SCHEDULED'), one called &gt;7 days ago (expect 'OVERDUE - 7D+').
• At least one patient WITH primary_caregiver_phone + primary_caregiver_name (e.g. Lakshmi Iyer, caregiver +91 98860 12345) to exercise the Call Options dropdown, and at least one WITHOUT a caregiver (single Call button).
• A patient with a valid +91 mobile (e.g. Ramesh Kumar, +91 99000 11223) and one with NO phone on file to exercise the missing-number guard.
• A patient with a valid email on file and one with NO email on file (for send-email 400/404 paths).
• At least 2 active HealthcareProviders so the Staff Registry shows togglable agents; ensure at least one can be set On Duty.
• Backend Exotel env vars (ACCOUNT_SID, API_KEY, API_TOKEN, EXOTEL_CALLER_ID): a valid set for happy path, plus a way to force a 403 (invalid API_KEY/API_TOKEN) to test the credential-error toast.
• Pre-seed at least one escalated SOP record (escalate=true, severity 'high') and several non-escalated SOP records spanning the date range, for History/Escalated coverage.
• Pre-seed at least one scheduler record (or add one during testing) to validate list, remove, and date display.
• Browser DevTools Network + Console open for every API-level case; React error overlay enabled in non-prod to catch hook-order crashes.</t>
        </is>
      </c>
    </row>
    <row r="45" ht="26" customHeight="1">
      <c r="A45" s="1" t="inlineStr">
        <is>
          <t>6. Execution Summary  (auto-calculated)</t>
        </is>
      </c>
    </row>
    <row r="46">
      <c r="A46" s="4" t="inlineStr">
        <is>
          <t>Total Cases</t>
        </is>
      </c>
      <c r="B46" s="5">
        <f>COUNTA('Test Cases'!A2:A85)</f>
        <v/>
      </c>
    </row>
    <row r="47">
      <c r="A47" s="4" t="inlineStr">
        <is>
          <t>Pass</t>
        </is>
      </c>
      <c r="B47" s="5">
        <f>COUNTIF('Test Cases'!L2:L85,"Pass")</f>
        <v/>
      </c>
    </row>
    <row r="48">
      <c r="A48" s="4" t="inlineStr">
        <is>
          <t>Fail</t>
        </is>
      </c>
      <c r="B48" s="5">
        <f>COUNTIF('Test Cases'!L2:L85,"Fail")</f>
        <v/>
      </c>
    </row>
    <row r="49">
      <c r="A49" s="4" t="inlineStr">
        <is>
          <t>Blocked</t>
        </is>
      </c>
      <c r="B49" s="5">
        <f>COUNTIF('Test Cases'!L2:L85,"Blocked")</f>
        <v/>
      </c>
    </row>
    <row r="50">
      <c r="A50" s="4" t="inlineStr">
        <is>
          <t>N/A</t>
        </is>
      </c>
      <c r="B50" s="5">
        <f>COUNTIF('Test Cases'!L2:L85,"N/A")</f>
        <v/>
      </c>
    </row>
    <row r="51">
      <c r="A51" s="4" t="inlineStr">
        <is>
          <t>Not Executed</t>
        </is>
      </c>
      <c r="B51" s="5">
        <f>COUNTIF('Test Cases'!L2:L85,"Not Executed")</f>
        <v/>
      </c>
    </row>
    <row r="52">
      <c r="A52" s="4" t="inlineStr">
        <is>
          <t>% Executed</t>
        </is>
      </c>
      <c r="B52" s="6">
        <f>IF(B46=0,0,(B46-COUNTIF('Test Cases'!L2:L85,"Not Executed"))/B46)</f>
        <v/>
      </c>
    </row>
    <row r="53">
      <c r="A53" s="4" t="inlineStr">
        <is>
          <t>% Pass (of executed)</t>
        </is>
      </c>
      <c r="B53" s="6">
        <f>IFERROR(B47/(B46-B51),0)</f>
        <v/>
      </c>
    </row>
    <row r="55" ht="26" customHeight="1">
      <c r="A55" s="1" t="inlineStr">
        <is>
          <t>7. Defect Severity Legend</t>
        </is>
      </c>
    </row>
    <row r="56" ht="18" customHeight="1">
      <c r="A56" s="2" t="inlineStr">
        <is>
          <t>Critical</t>
        </is>
      </c>
      <c r="B56" s="3" t="inlineStr">
        <is>
          <t>Blocks core workflow / data loss / security breach; no workaround. Fix before go-live.</t>
        </is>
      </c>
    </row>
    <row r="57" ht="18" customHeight="1">
      <c r="A57" s="2" t="inlineStr">
        <is>
          <t>High</t>
        </is>
      </c>
      <c r="B57" s="3" t="inlineStr">
        <is>
          <t>Major feature broken or incorrect; workaround difficult. Fix before go-live.</t>
        </is>
      </c>
    </row>
    <row r="58" ht="18" customHeight="1">
      <c r="A58" s="2" t="inlineStr">
        <is>
          <t>Medium</t>
        </is>
      </c>
      <c r="B58" s="3" t="inlineStr">
        <is>
          <t>Feature works with a usable workaround or minor data issue.</t>
        </is>
      </c>
    </row>
    <row r="59" ht="18" customHeight="1">
      <c r="A59" s="2" t="inlineStr">
        <is>
          <t>Low</t>
        </is>
      </c>
      <c r="B59" s="3" t="inlineStr">
        <is>
          <t>Cosmetic / minor UI / wording. Backlog.</t>
        </is>
      </c>
    </row>
    <row r="61" ht="26" customHeight="1">
      <c r="A61" s="1" t="inlineStr">
        <is>
          <t>8. Status Values</t>
        </is>
      </c>
    </row>
    <row r="62" ht="45" customHeight="1">
      <c r="A62" s="2" t="inlineStr">
        <is>
          <t>Pass / Fail / Blocked / N/A / Not Executed</t>
        </is>
      </c>
      <c r="B62" s="3" t="inlineStr">
        <is>
          <t>Pass = behaves as expected. Fail = does not match Expected Result (log Severity + Remarks/Defect ID). Blocked = cannot test due to a dependency/defect. N/A = not applicable in this environment. Not Executed = not yet run (default).</t>
        </is>
      </c>
    </row>
  </sheetData>
  <mergeCells count="9">
    <mergeCell ref="A26:B26"/>
    <mergeCell ref="A42:B42"/>
    <mergeCell ref="A45:B45"/>
    <mergeCell ref="A14:B14"/>
    <mergeCell ref="A1:B1"/>
    <mergeCell ref="A17:B17"/>
    <mergeCell ref="A9:B9"/>
    <mergeCell ref="A61:B61"/>
    <mergeCell ref="A55:B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34" customWidth="1" min="3" max="3"/>
    <col width="9" customWidth="1" min="4" max="4"/>
    <col width="13" customWidth="1" min="5" max="5"/>
    <col width="26" customWidth="1" min="6" max="6"/>
    <col width="50" customWidth="1" min="7" max="7"/>
    <col width="24" customWidth="1" min="8" max="8"/>
    <col width="44" customWidth="1" min="9" max="9"/>
    <col width="30" customWidth="1" min="10" max="10"/>
    <col width="30" customWidth="1" min="11" max="11"/>
    <col width="14" customWidth="1" min="12" max="12"/>
    <col width="11" customWidth="1" min="13" max="13"/>
    <col width="14" customWidth="1" min="14" max="14"/>
    <col width="13" customWidth="1" min="15" max="15"/>
    <col width="30" customWidth="1" min="16" max="16"/>
  </cols>
  <sheetData>
    <row r="1" ht="30" customHeight="1">
      <c r="A1" s="7" t="inlineStr">
        <is>
          <t>Test Case ID</t>
        </is>
      </c>
      <c r="B1" s="7" t="inlineStr">
        <is>
          <t>Section / Feature</t>
        </is>
      </c>
      <c r="C1" s="7" t="inlineStr">
        <is>
          <t>Test Title</t>
        </is>
      </c>
      <c r="D1" s="7" t="inlineStr">
        <is>
          <t>Priority</t>
        </is>
      </c>
      <c r="E1" s="7" t="inlineStr">
        <is>
          <t>Type</t>
        </is>
      </c>
      <c r="F1" s="7" t="inlineStr">
        <is>
          <t>Preconditions</t>
        </is>
      </c>
      <c r="G1" s="7" t="inlineStr">
        <is>
          <t>Test Steps</t>
        </is>
      </c>
      <c r="H1" s="7" t="inlineStr">
        <is>
          <t>Test Data</t>
        </is>
      </c>
      <c r="I1" s="7" t="inlineStr">
        <is>
          <t>Expected Result</t>
        </is>
      </c>
      <c r="J1" s="7" t="inlineStr">
        <is>
          <t>API Reference</t>
        </is>
      </c>
      <c r="K1" s="7" t="inlineStr">
        <is>
          <t>Actual Result</t>
        </is>
      </c>
      <c r="L1" s="7" t="inlineStr">
        <is>
          <t>Status</t>
        </is>
      </c>
      <c r="M1" s="7" t="inlineStr">
        <is>
          <t>Severity</t>
        </is>
      </c>
      <c r="N1" s="7" t="inlineStr">
        <is>
          <t>Tested By</t>
        </is>
      </c>
      <c r="O1" s="7" t="inlineStr">
        <is>
          <t>Date Tested</t>
        </is>
      </c>
      <c r="P1" s="7" t="inlineStr">
        <is>
          <t>Remarks / Defect ID</t>
        </is>
      </c>
    </row>
    <row r="2" ht="105" customHeight="1">
      <c r="A2" s="8" t="inlineStr">
        <is>
          <t>CL-001</t>
        </is>
      </c>
      <c r="B2" s="9" t="inlineStr">
        <is>
          <t>Permission &amp; Access</t>
        </is>
      </c>
      <c r="C2" s="9" t="inlineStr">
        <is>
          <t>Admin can open /call-logs and lands on the Dial tab</t>
        </is>
      </c>
      <c r="D2" s="10" t="inlineStr">
        <is>
          <t>High</t>
        </is>
      </c>
      <c r="E2" s="9" t="inlineStr">
        <is>
          <t>Permission</t>
        </is>
      </c>
      <c r="F2" s="9" t="inlineStr">
        <is>
          <t>Logged in as admin user; at least 1 patient and 1 provider exist.</t>
        </is>
      </c>
      <c r="G2" s="9" t="inlineStr">
        <is>
          <t>1. Log in as the admin user.
2. Navigate to https://saranam.fieldintel.ai/call-logs (or click the 'Call Logs' sidebar item).
3. Observe the page header and the active tab.</t>
        </is>
      </c>
      <c r="H2" s="9" t="inlineStr">
        <is>
          <t>admin@saranam.test</t>
        </is>
      </c>
      <c r="I2" s="9" t="inlineStr">
        <is>
          <t>Page renders with title 'Smart Outreach' and subtitle 'Integrated patient communication hub and automated call history.'. The 'Dial' tab is active by default; Dial/History/Escalated/Scheduler toggle buttons are visible; the Staff Registry sidebar is shown.</t>
        </is>
      </c>
      <c r="J2" s="9" t="inlineStr">
        <is>
          <t>GET /api/exotel/agents</t>
        </is>
      </c>
      <c r="K2" s="11" t="inlineStr"/>
      <c r="L2" s="12" t="inlineStr">
        <is>
          <t>Not Executed</t>
        </is>
      </c>
      <c r="M2" s="12" t="inlineStr"/>
      <c r="N2" s="12" t="inlineStr"/>
      <c r="O2" s="12" t="inlineStr"/>
      <c r="P2" s="11" t="inlineStr"/>
    </row>
    <row r="3" ht="60" customHeight="1">
      <c r="A3" s="8" t="inlineStr">
        <is>
          <t>CL-002</t>
        </is>
      </c>
      <c r="B3" s="9" t="inlineStr">
        <is>
          <t>Permission &amp; Access</t>
        </is>
      </c>
      <c r="C3" s="9" t="inlineStr">
        <is>
          <t>Non-admin user is blocked from /call-logs (Access Denied)</t>
        </is>
      </c>
      <c r="D3" s="10" t="inlineStr">
        <is>
          <t>High</t>
        </is>
      </c>
      <c r="E3" s="9" t="inlineStr">
        <is>
          <t>Permission</t>
        </is>
      </c>
      <c r="F3" s="9" t="inlineStr">
        <is>
          <t>Logged in as a non-admin user (role data_entry or viewer).</t>
        </is>
      </c>
      <c r="G3" s="9" t="inlineStr">
        <is>
          <t>1. Log in as a non-admin user.
2. Manually navigate to /call-logs via the URL bar.
3. Observe the rendered content.</t>
        </is>
      </c>
      <c r="H3" s="9" t="inlineStr">
        <is>
          <t>viewer@saranam.test (role=viewer)</t>
        </is>
      </c>
      <c r="I3" s="9" t="inlineStr">
        <is>
          <t>ProtectedRoute renders a full-page 'Access Denied' message ('You don't have permission to access this page.'); CallLogsPage and its API calls do NOT execute.</t>
        </is>
      </c>
      <c r="J3" s="9" t="inlineStr">
        <is>
          <t>N/A</t>
        </is>
      </c>
      <c r="K3" s="11" t="inlineStr"/>
      <c r="L3" s="12" t="inlineStr">
        <is>
          <t>Not Executed</t>
        </is>
      </c>
      <c r="M3" s="12" t="inlineStr"/>
      <c r="N3" s="12" t="inlineStr"/>
      <c r="O3" s="12" t="inlineStr"/>
      <c r="P3" s="11" t="inlineStr"/>
    </row>
    <row r="4" ht="120" customHeight="1">
      <c r="A4" s="8" t="inlineStr">
        <is>
          <t>CL-003</t>
        </is>
      </c>
      <c r="B4" s="9" t="inlineStr">
        <is>
          <t>Permission &amp; Access</t>
        </is>
      </c>
      <c r="C4" s="9" t="inlineStr">
        <is>
          <t>'Call Logs' sidebar item visibility for a non-admin (KNOWN DEFECT)</t>
        </is>
      </c>
      <c r="D4" s="10" t="inlineStr">
        <is>
          <t>High</t>
        </is>
      </c>
      <c r="E4" s="9" t="inlineStr">
        <is>
          <t>Permission</t>
        </is>
      </c>
      <c r="F4" s="9" t="inlineStr">
        <is>
          <t>Logged in as a non-admin user; DashboardLayout sidebar visible.</t>
        </is>
      </c>
      <c r="G4" s="9" t="inlineStr">
        <is>
          <t>1. Log in as a non-admin user (viewer/data_entry).
2. Open the left navigation sidebar.
3. Look for the 'Call Logs' menu item.
4. Click it if present.</t>
        </is>
      </c>
      <c r="H4" s="9" t="inlineStr">
        <is>
          <t>viewer@saranam.test</t>
        </is>
      </c>
      <c r="I4" s="9" t="inlineStr">
        <is>
          <t>EXPECTED PER REQUIREMENT: the 'Call Logs' item should be hidden for non-admins. ACTUAL (defect): the nav entry has permission:null and is filtered by `!item.permission || hasPermission(...)`, so it is ALWAYS shown; the non-admin sees 'Call Logs' and on click reaches the 'Access Denied' page. Log as FAIL and reference DEF-CL-01.</t>
        </is>
      </c>
      <c r="J4" s="9" t="inlineStr">
        <is>
          <t>N/A</t>
        </is>
      </c>
      <c r="K4" s="11" t="inlineStr"/>
      <c r="L4" s="12" t="inlineStr">
        <is>
          <t>Not Executed</t>
        </is>
      </c>
      <c r="M4" s="12" t="inlineStr"/>
      <c r="N4" s="12" t="inlineStr"/>
      <c r="O4" s="12" t="inlineStr"/>
      <c r="P4" s="11" t="inlineStr"/>
    </row>
    <row r="5" ht="45" customHeight="1">
      <c r="A5" s="8" t="inlineStr">
        <is>
          <t>CL-004</t>
        </is>
      </c>
      <c r="B5" s="9" t="inlineStr">
        <is>
          <t>Permission &amp; Access</t>
        </is>
      </c>
      <c r="C5" s="9" t="inlineStr">
        <is>
          <t>Unauthenticated user is redirected to /login</t>
        </is>
      </c>
      <c r="D5" s="10" t="inlineStr">
        <is>
          <t>High</t>
        </is>
      </c>
      <c r="E5" s="9" t="inlineStr">
        <is>
          <t>Permission</t>
        </is>
      </c>
      <c r="F5" s="9" t="inlineStr">
        <is>
          <t>No active session (localStorage cleared of access_token/user).</t>
        </is>
      </c>
      <c r="G5" s="9" t="inlineStr">
        <is>
          <t>1. Clear site data / log out so there is no user in context.
2. Navigate directly to /call-logs.</t>
        </is>
      </c>
      <c r="H5" s="9" t="inlineStr">
        <is>
          <t>N/A</t>
        </is>
      </c>
      <c r="I5" s="9" t="inlineStr">
        <is>
          <t>ProtectedRoute sees no user and redirects (Navigate replace) to /login. CallLogsPage does not render.</t>
        </is>
      </c>
      <c r="J5" s="9" t="inlineStr">
        <is>
          <t>N/A</t>
        </is>
      </c>
      <c r="K5" s="11" t="inlineStr"/>
      <c r="L5" s="12" t="inlineStr">
        <is>
          <t>Not Executed</t>
        </is>
      </c>
      <c r="M5" s="12" t="inlineStr"/>
      <c r="N5" s="12" t="inlineStr"/>
      <c r="O5" s="12" t="inlineStr"/>
      <c r="P5" s="11" t="inlineStr"/>
    </row>
    <row r="6" ht="90" customHeight="1">
      <c r="A6" s="8" t="inlineStr">
        <is>
          <t>CL-005</t>
        </is>
      </c>
      <c r="B6" s="9" t="inlineStr">
        <is>
          <t>Permission &amp; Access</t>
        </is>
      </c>
      <c r="C6" s="9" t="inlineStr">
        <is>
          <t>Expired access token on a guarded call triggers refresh then retry</t>
        </is>
      </c>
      <c r="D6" s="13" t="inlineStr">
        <is>
          <t>Medium</t>
        </is>
      </c>
      <c r="E6" s="9" t="inlineStr">
        <is>
          <t>API</t>
        </is>
      </c>
      <c r="F6" s="9" t="inlineStr">
        <is>
          <t>Logged in as admin; access_token expired but a valid refresh_token present.</t>
        </is>
      </c>
      <c r="G6" s="9" t="inlineStr">
        <is>
          <t>1. Set access_token in localStorage to an expired/invalid token, keep a valid refresh_token.
2. Open /call-logs (triggers GET /api/exotel/agents).
3. Watch the Network tab.</t>
        </is>
      </c>
      <c r="H6" s="9" t="inlineStr">
        <is>
          <t>N/A</t>
        </is>
      </c>
      <c r="I6" s="9" t="inlineStr">
        <is>
          <t>First agents call returns 401; client posts /auth/refresh with the refresh token, stores the new access_token, and retries the original request which now succeeds (200). Staff Registry populates without forcing logout.</t>
        </is>
      </c>
      <c r="J6" s="9" t="inlineStr">
        <is>
          <t>GET /api/exotel/agents</t>
        </is>
      </c>
      <c r="K6" s="11" t="inlineStr"/>
      <c r="L6" s="12" t="inlineStr">
        <is>
          <t>Not Executed</t>
        </is>
      </c>
      <c r="M6" s="12" t="inlineStr"/>
      <c r="N6" s="12" t="inlineStr"/>
      <c r="O6" s="12" t="inlineStr"/>
      <c r="P6" s="11" t="inlineStr"/>
    </row>
    <row r="7" ht="60" customHeight="1">
      <c r="A7" s="8" t="inlineStr">
        <is>
          <t>CL-006</t>
        </is>
      </c>
      <c r="B7" s="9" t="inlineStr">
        <is>
          <t>Permission &amp; Access</t>
        </is>
      </c>
      <c r="C7" s="9" t="inlineStr">
        <is>
          <t>Failed token refresh on 401 logs the user out to /login</t>
        </is>
      </c>
      <c r="D7" s="13" t="inlineStr">
        <is>
          <t>Medium</t>
        </is>
      </c>
      <c r="E7" s="9" t="inlineStr">
        <is>
          <t>API</t>
        </is>
      </c>
      <c r="F7" s="9" t="inlineStr">
        <is>
          <t>Logged in as admin; both access_token and refresh_token invalid/expired.</t>
        </is>
      </c>
      <c r="G7" s="9" t="inlineStr">
        <is>
          <t>1. Invalidate both access_token and refresh_token in localStorage.
2. Open /call-logs.
3. Observe redirect behaviour.</t>
        </is>
      </c>
      <c r="H7" s="9" t="inlineStr">
        <is>
          <t>N/A</t>
        </is>
      </c>
      <c r="I7" s="9" t="inlineStr">
        <is>
          <t>Guarded call returns 401, refresh attempt fails, client clears access_token/refresh_token/user from localStorage and redirects to /login.</t>
        </is>
      </c>
      <c r="J7" s="9" t="inlineStr">
        <is>
          <t>GET /api/exotel/agents</t>
        </is>
      </c>
      <c r="K7" s="11" t="inlineStr"/>
      <c r="L7" s="12" t="inlineStr">
        <is>
          <t>Not Executed</t>
        </is>
      </c>
      <c r="M7" s="12" t="inlineStr"/>
      <c r="N7" s="12" t="inlineStr"/>
      <c r="O7" s="12" t="inlineStr"/>
      <c r="P7" s="11" t="inlineStr"/>
    </row>
    <row r="8" ht="90" customHeight="1">
      <c r="A8" s="14" t="inlineStr">
        <is>
          <t>CL-007</t>
        </is>
      </c>
      <c r="B8" s="15" t="inlineStr">
        <is>
          <t>Dial - Outreach Queue</t>
        </is>
      </c>
      <c r="C8" s="15" t="inlineStr">
        <is>
          <t>Dial tab loads the priority outreach queue with patients and pagination footer</t>
        </is>
      </c>
      <c r="D8" s="16" t="inlineStr">
        <is>
          <t>High</t>
        </is>
      </c>
      <c r="E8" s="15" t="inlineStr">
        <is>
          <t>Functional</t>
        </is>
      </c>
      <c r="F8" s="15" t="inlineStr">
        <is>
          <t>Admin on /call-logs, &gt;10 patients seeded.</t>
        </is>
      </c>
      <c r="G8" s="15" t="inlineStr">
        <is>
          <t>1. Open the Dial tab.
2. Observe the 'Patients' card titled 'Priority Outreach Queue'.
3. Read the footer 'Showing X to Y of Z' text.</t>
        </is>
      </c>
      <c r="H8" s="15" t="inlineStr">
        <is>
          <t>12 seeded patients</t>
        </is>
      </c>
      <c r="I8" s="15" t="inlineStr">
        <is>
          <t>GET /api/patients (page=1, per_page=10, search='') is called; up to 10 patient rows render with name, patient phone, last sync date and a status badge; footer reads 'Showing 1 to 10 of 12'; Next enabled, Previous disabled on page 1.</t>
        </is>
      </c>
      <c r="J8" s="15" t="inlineStr">
        <is>
          <t>GET /api/patients?page=1&amp;per_page=10</t>
        </is>
      </c>
      <c r="K8" s="11" t="inlineStr"/>
      <c r="L8" s="12" t="inlineStr">
        <is>
          <t>Not Executed</t>
        </is>
      </c>
      <c r="M8" s="12" t="inlineStr"/>
      <c r="N8" s="12" t="inlineStr"/>
      <c r="O8" s="12" t="inlineStr"/>
      <c r="P8" s="11" t="inlineStr"/>
    </row>
    <row r="9" ht="75" customHeight="1">
      <c r="A9" s="14" t="inlineStr">
        <is>
          <t>CL-008</t>
        </is>
      </c>
      <c r="B9" s="15" t="inlineStr">
        <is>
          <t>Dial - Outreach Queue</t>
        </is>
      </c>
      <c r="C9" s="15" t="inlineStr">
        <is>
          <t>Queue sorts by outreach priority (overdue &gt; never &gt; scheduled &gt; recent)</t>
        </is>
      </c>
      <c r="D9" s="17" t="inlineStr">
        <is>
          <t>Medium</t>
        </is>
      </c>
      <c r="E9" s="15" t="inlineStr">
        <is>
          <t>Functional</t>
        </is>
      </c>
      <c r="F9" s="15" t="inlineStr">
        <is>
          <t>Patients seeded with varied last_call_date values as per test data setup.</t>
        </is>
      </c>
      <c r="G9" s="15" t="inlineStr">
        <is>
          <t>1. Open the Dial tab.
2. Inspect the order of the patient rows and their badges.</t>
        </is>
      </c>
      <c r="H9" s="15" t="inlineStr">
        <is>
          <t>Patients with last_call_date = none / today / 3 days ago / 8 days ago</t>
        </is>
      </c>
      <c r="I9" s="15" t="inlineStr">
        <is>
          <t>Rows are ordered so OVERDUE - 7D+ appears first, then NEVER CONTACTED, then SCHEDULED, then CONTACTED TODAY (client-side sort by getCallStatus priority {overdue:3, never:2, scheduled:1, recent:0}).</t>
        </is>
      </c>
      <c r="J9" s="15" t="inlineStr">
        <is>
          <t>N/A</t>
        </is>
      </c>
      <c r="K9" s="11" t="inlineStr"/>
      <c r="L9" s="12" t="inlineStr">
        <is>
          <t>Not Executed</t>
        </is>
      </c>
      <c r="M9" s="12" t="inlineStr"/>
      <c r="N9" s="12" t="inlineStr"/>
      <c r="O9" s="12" t="inlineStr"/>
      <c r="P9" s="11" t="inlineStr"/>
    </row>
    <row r="10" ht="75" customHeight="1">
      <c r="A10" s="14" t="inlineStr">
        <is>
          <t>CL-009</t>
        </is>
      </c>
      <c r="B10" s="15" t="inlineStr">
        <is>
          <t>Dial - Outreach Queue</t>
        </is>
      </c>
      <c r="C10" s="15" t="inlineStr">
        <is>
          <t>Patient status badges render correctly for each call-recency bucket</t>
        </is>
      </c>
      <c r="D10" s="17" t="inlineStr">
        <is>
          <t>Medium</t>
        </is>
      </c>
      <c r="E10" s="15" t="inlineStr">
        <is>
          <t>UI/UX</t>
        </is>
      </c>
      <c r="F10" s="15" t="inlineStr">
        <is>
          <t>Patients seeded per CL-008.</t>
        </is>
      </c>
      <c r="G10" s="15" t="inlineStr">
        <is>
          <t>1. Open the Dial tab.
2. Match each patient row's badge against its last_call_date.</t>
        </is>
      </c>
      <c r="H10" s="15" t="inlineStr">
        <is>
          <t>Same as CL-008</t>
        </is>
      </c>
      <c r="I10" s="15" t="inlineStr">
        <is>
          <t>No last_call_date -&gt; 'NEVER CONTACTED' (amber). &lt;1 day -&gt; 'CONTACTED TODAY' (emerald). 1-7 days -&gt; 'SCHEDULED' (blue). &gt;7 days -&gt; 'OVERDUE - 7D+' (red, pulsing). Last Sync shows the formatted date or 'None'.</t>
        </is>
      </c>
      <c r="J10" s="15" t="inlineStr">
        <is>
          <t>N/A</t>
        </is>
      </c>
      <c r="K10" s="11" t="inlineStr"/>
      <c r="L10" s="12" t="inlineStr">
        <is>
          <t>Not Executed</t>
        </is>
      </c>
      <c r="M10" s="12" t="inlineStr"/>
      <c r="N10" s="12" t="inlineStr"/>
      <c r="O10" s="12" t="inlineStr"/>
      <c r="P10" s="11" t="inlineStr"/>
    </row>
    <row r="11" ht="75" customHeight="1">
      <c r="A11" s="14" t="inlineStr">
        <is>
          <t>CL-010</t>
        </is>
      </c>
      <c r="B11" s="15" t="inlineStr">
        <is>
          <t>Dial - Outreach Queue</t>
        </is>
      </c>
      <c r="C11" s="15" t="inlineStr">
        <is>
          <t>Patient search filters the queue (debounced) by name</t>
        </is>
      </c>
      <c r="D11" s="16" t="inlineStr">
        <is>
          <t>High</t>
        </is>
      </c>
      <c r="E11" s="15" t="inlineStr">
        <is>
          <t>Functional</t>
        </is>
      </c>
      <c r="F11" s="15" t="inlineStr">
        <is>
          <t>Admin on Dial tab; patient 'Ramesh Kumar' exists.</t>
        </is>
      </c>
      <c r="G11" s="15" t="inlineStr">
        <is>
          <t>1. Type 'Ramesh' into the 'Search patient or phone...' box.
2. Wait ~300ms and observe the Network tab and the list.</t>
        </is>
      </c>
      <c r="H11" s="15" t="inlineStr">
        <is>
          <t>Search term: Ramesh</t>
        </is>
      </c>
      <c r="I11" s="15" t="inlineStr">
        <is>
          <t>After the 300ms debounce a single GET /api/patients call fires with search=Ramesh; the list updates to matching patients. (Note: results are additionally filtered client-side by name/phone via sortedPatients.)</t>
        </is>
      </c>
      <c r="J11" s="15" t="inlineStr">
        <is>
          <t>GET /api/patients?search=Ramesh</t>
        </is>
      </c>
      <c r="K11" s="11" t="inlineStr"/>
      <c r="L11" s="12" t="inlineStr">
        <is>
          <t>Not Executed</t>
        </is>
      </c>
      <c r="M11" s="12" t="inlineStr"/>
      <c r="N11" s="12" t="inlineStr"/>
      <c r="O11" s="12" t="inlineStr"/>
      <c r="P11" s="11" t="inlineStr"/>
    </row>
    <row r="12" ht="60" customHeight="1">
      <c r="A12" s="14" t="inlineStr">
        <is>
          <t>CL-011</t>
        </is>
      </c>
      <c r="B12" s="15" t="inlineStr">
        <is>
          <t>Dial - Outreach Queue</t>
        </is>
      </c>
      <c r="C12" s="15" t="inlineStr">
        <is>
          <t>Patient search by phone substring filters the visible rows</t>
        </is>
      </c>
      <c r="D12" s="17" t="inlineStr">
        <is>
          <t>Medium</t>
        </is>
      </c>
      <c r="E12" s="15" t="inlineStr">
        <is>
          <t>Functional</t>
        </is>
      </c>
      <c r="F12" s="15" t="inlineStr">
        <is>
          <t>Admin on Dial tab; a patient with phone +91 99000 11223 exists.</t>
        </is>
      </c>
      <c r="G12" s="15" t="inlineStr">
        <is>
          <t>1. Type '99000' into the search box.
2. Observe the filtered rows.</t>
        </is>
      </c>
      <c r="H12" s="15" t="inlineStr">
        <is>
          <t>Search term: 99000</t>
        </is>
      </c>
      <c r="I12" s="15" t="inlineStr">
        <is>
          <t>Rows are filtered to patients whose phone contains '99000' (client-side sortedPatients filter on p.phone). Non-matching rows are hidden.</t>
        </is>
      </c>
      <c r="J12" s="15" t="inlineStr">
        <is>
          <t>GET /api/patients?search=99000</t>
        </is>
      </c>
      <c r="K12" s="11" t="inlineStr"/>
      <c r="L12" s="12" t="inlineStr">
        <is>
          <t>Not Executed</t>
        </is>
      </c>
      <c r="M12" s="12" t="inlineStr"/>
      <c r="N12" s="12" t="inlineStr"/>
      <c r="O12" s="12" t="inlineStr"/>
      <c r="P12" s="11" t="inlineStr"/>
    </row>
    <row r="13" ht="60" customHeight="1">
      <c r="A13" s="14" t="inlineStr">
        <is>
          <t>CL-012</t>
        </is>
      </c>
      <c r="B13" s="15" t="inlineStr">
        <is>
          <t>Dial - Outreach Queue</t>
        </is>
      </c>
      <c r="C13" s="15" t="inlineStr">
        <is>
          <t>Outreach queue pagination Next/Previous navigates pages</t>
        </is>
      </c>
      <c r="D13" s="17" t="inlineStr">
        <is>
          <t>Medium</t>
        </is>
      </c>
      <c r="E13" s="15" t="inlineStr">
        <is>
          <t>Functional</t>
        </is>
      </c>
      <c r="F13" s="15" t="inlineStr">
        <is>
          <t>Admin on Dial tab; 12 patients (2 pages).</t>
        </is>
      </c>
      <c r="G13" s="15" t="inlineStr">
        <is>
          <t>1. On page 1, click 'Next' in the queue footer.
2. Observe the list and footer.
3. Click 'Previous'.</t>
        </is>
      </c>
      <c r="H13" s="15" t="inlineStr">
        <is>
          <t>12 patients, PER_PAGE 10</t>
        </is>
      </c>
      <c r="I13" s="15" t="inlineStr">
        <is>
          <t>Next sets patientPage=2 -&gt; GET /api/patients?page=2; footer reads 'Showing 11 to 12 of 12'; Next is disabled on the last page; Previous returns to page 1.</t>
        </is>
      </c>
      <c r="J13" s="15" t="inlineStr">
        <is>
          <t>GET /api/patients?page=2&amp;per_page=10</t>
        </is>
      </c>
      <c r="K13" s="11" t="inlineStr"/>
      <c r="L13" s="12" t="inlineStr">
        <is>
          <t>Not Executed</t>
        </is>
      </c>
      <c r="M13" s="12" t="inlineStr"/>
      <c r="N13" s="12" t="inlineStr"/>
      <c r="O13" s="12" t="inlineStr"/>
      <c r="P13" s="11" t="inlineStr"/>
    </row>
    <row r="14" ht="45" customHeight="1">
      <c r="A14" s="14" t="inlineStr">
        <is>
          <t>CL-013</t>
        </is>
      </c>
      <c r="B14" s="15" t="inlineStr">
        <is>
          <t>Dial - Outreach Queue</t>
        </is>
      </c>
      <c r="C14" s="15" t="inlineStr">
        <is>
          <t>Empty outreach queue shows 'No patients found.'</t>
        </is>
      </c>
      <c r="D14" s="17" t="inlineStr">
        <is>
          <t>Medium</t>
        </is>
      </c>
      <c r="E14" s="15" t="inlineStr">
        <is>
          <t>Edge Case</t>
        </is>
      </c>
      <c r="F14" s="15" t="inlineStr">
        <is>
          <t>Admin on Dial tab; search yields zero patients.</t>
        </is>
      </c>
      <c r="G14" s="15" t="inlineStr">
        <is>
          <t>1. Type a string matching no patient, e.g. 'zzzzqqq'.
2. Wait for the list to settle.</t>
        </is>
      </c>
      <c r="H14" s="15" t="inlineStr">
        <is>
          <t>Search term: zzzzqqq</t>
        </is>
      </c>
      <c r="I14" s="15" t="inlineStr">
        <is>
          <t>The queue body shows the italic empty message 'No patients found.' and no patient rows; footer count reflects 0.</t>
        </is>
      </c>
      <c r="J14" s="15" t="inlineStr">
        <is>
          <t>GET /api/patients?search=zzzzqqq</t>
        </is>
      </c>
      <c r="K14" s="11" t="inlineStr"/>
      <c r="L14" s="12" t="inlineStr">
        <is>
          <t>Not Executed</t>
        </is>
      </c>
      <c r="M14" s="12" t="inlineStr"/>
      <c r="N14" s="12" t="inlineStr"/>
      <c r="O14" s="12" t="inlineStr"/>
      <c r="P14" s="11" t="inlineStr"/>
    </row>
    <row r="15" ht="60" customHeight="1">
      <c r="A15" s="14" t="inlineStr">
        <is>
          <t>CL-014</t>
        </is>
      </c>
      <c r="B15" s="15" t="inlineStr">
        <is>
          <t>Dial - Outreach Queue</t>
        </is>
      </c>
      <c r="C15" s="15" t="inlineStr">
        <is>
          <t>Loading skeleton displays while patients are being fetched</t>
        </is>
      </c>
      <c r="D15" s="18" t="inlineStr">
        <is>
          <t>Low</t>
        </is>
      </c>
      <c r="E15" s="15" t="inlineStr">
        <is>
          <t>UI/UX</t>
        </is>
      </c>
      <c r="F15" s="15" t="inlineStr">
        <is>
          <t>Admin; throttle network to Slow 3G in DevTools.</t>
        </is>
      </c>
      <c r="G15" s="15" t="inlineStr">
        <is>
          <t>1. Throttle the network.
2. Switch to / refresh the Dial tab.
3. Observe the Patients card during loading.</t>
        </is>
      </c>
      <c r="H15" s="15" t="inlineStr">
        <is>
          <t>N/A</t>
        </is>
      </c>
      <c r="I15" s="15" t="inlineStr">
        <is>
          <t>While patientsLoading is true the CallLogCard renders skeleton placeholders (title/description/300px body skeleton) instead of rows; rows appear once data resolves.</t>
        </is>
      </c>
      <c r="J15" s="15" t="inlineStr">
        <is>
          <t>GET /api/patients</t>
        </is>
      </c>
      <c r="K15" s="11" t="inlineStr"/>
      <c r="L15" s="12" t="inlineStr">
        <is>
          <t>Not Executed</t>
        </is>
      </c>
      <c r="M15" s="12" t="inlineStr"/>
      <c r="N15" s="12" t="inlineStr"/>
      <c r="O15" s="12" t="inlineStr"/>
      <c r="P15" s="11" t="inlineStr"/>
    </row>
    <row r="16" ht="60" customHeight="1">
      <c r="A16" s="14" t="inlineStr">
        <is>
          <t>CL-015</t>
        </is>
      </c>
      <c r="B16" s="15" t="inlineStr">
        <is>
          <t>Dial - Outreach Queue</t>
        </is>
      </c>
      <c r="C16" s="15" t="inlineStr">
        <is>
          <t>Patients fetch failure shows 'Sync Failed' destructive toast</t>
        </is>
      </c>
      <c r="D16" s="17" t="inlineStr">
        <is>
          <t>Medium</t>
        </is>
      </c>
      <c r="E16" s="15" t="inlineStr">
        <is>
          <t>Negative</t>
        </is>
      </c>
      <c r="F16" s="15" t="inlineStr">
        <is>
          <t>Admin on Dial tab; force GET /api/patients to return 500 (e.g. block the endpoint).</t>
        </is>
      </c>
      <c r="G16" s="15" t="inlineStr">
        <is>
          <t>1. Force the patients endpoint to error (DevTools request block or backend down).
2. Open / refresh the Dial tab.</t>
        </is>
      </c>
      <c r="H16" s="15" t="inlineStr">
        <is>
          <t>N/A</t>
        </is>
      </c>
      <c r="I16" s="15" t="inlineStr">
        <is>
          <t>A destructive toast 'Sync Failed - Could not retrieve patients.' is shown; the queue does not crash and shows the empty state.</t>
        </is>
      </c>
      <c r="J16" s="15" t="inlineStr">
        <is>
          <t>GET /api/patients</t>
        </is>
      </c>
      <c r="K16" s="11" t="inlineStr"/>
      <c r="L16" s="12" t="inlineStr">
        <is>
          <t>Not Executed</t>
        </is>
      </c>
      <c r="M16" s="12" t="inlineStr"/>
      <c r="N16" s="12" t="inlineStr"/>
      <c r="O16" s="12" t="inlineStr"/>
      <c r="P16" s="11" t="inlineStr"/>
    </row>
    <row r="17" ht="75" customHeight="1">
      <c r="A17" s="14" t="inlineStr">
        <is>
          <t>CL-016</t>
        </is>
      </c>
      <c r="B17" s="15" t="inlineStr">
        <is>
          <t>Dial - Outreach Queue</t>
        </is>
      </c>
      <c r="C17" s="15" t="inlineStr">
        <is>
          <t>Caregiver patient shows 'Call Options' dropdown with Patient and Caregiver</t>
        </is>
      </c>
      <c r="D17" s="16" t="inlineStr">
        <is>
          <t>High</t>
        </is>
      </c>
      <c r="E17" s="15" t="inlineStr">
        <is>
          <t>Functional</t>
        </is>
      </c>
      <c r="F17" s="15" t="inlineStr">
        <is>
          <t>Admin on Dial tab; patient with primary_caregiver_phone exists; at least one On Duty staff.</t>
        </is>
      </c>
      <c r="G17" s="15" t="inlineStr">
        <is>
          <t>1. Locate the caregiver-enabled patient row (caregiver phone shown in blue).
2. Click the 'Call Options' button.
3. Inspect the dropdown menu.</t>
        </is>
      </c>
      <c r="H17" s="15" t="inlineStr">
        <is>
          <t>Lakshmi Iyer, caregiver +91 98860 12345</t>
        </is>
      </c>
      <c r="I17" s="15" t="inlineStr">
        <is>
          <t>A dropdown opens with label 'Select Contact', a 'Call Patient' item (patient phone) and a 'Call Caregiver' item (caregiver phone + name). Patients with no caregiver render a single 'Call' button instead.</t>
        </is>
      </c>
      <c r="J17" s="15" t="inlineStr">
        <is>
          <t>N/A</t>
        </is>
      </c>
      <c r="K17" s="11" t="inlineStr"/>
      <c r="L17" s="12" t="inlineStr">
        <is>
          <t>Not Executed</t>
        </is>
      </c>
      <c r="M17" s="12" t="inlineStr"/>
      <c r="N17" s="12" t="inlineStr"/>
      <c r="O17" s="12" t="inlineStr"/>
      <c r="P17" s="11" t="inlineStr"/>
    </row>
    <row r="18" ht="75" customHeight="1">
      <c r="A18" s="14" t="inlineStr">
        <is>
          <t>CL-017</t>
        </is>
      </c>
      <c r="B18" s="15" t="inlineStr">
        <is>
          <t>Dial - Outreach Queue</t>
        </is>
      </c>
      <c r="C18" s="15" t="inlineStr">
        <is>
          <t>Schedule-for-later popover requires a date before Confirm is enabled</t>
        </is>
      </c>
      <c r="D18" s="17" t="inlineStr">
        <is>
          <t>Medium</t>
        </is>
      </c>
      <c r="E18" s="15" t="inlineStr">
        <is>
          <t>Validation</t>
        </is>
      </c>
      <c r="F18" s="15" t="inlineStr">
        <is>
          <t>Admin on Dial tab.</t>
        </is>
      </c>
      <c r="G18" s="15" t="inlineStr">
        <is>
          <t>1. Click the amber calendar button on a patient row.
2. Observe the 'Confirm Schedule' button before picking a date.
3. Pick a future date, then observe the button.</t>
        </is>
      </c>
      <c r="H18" s="15" t="inlineStr">
        <is>
          <t>Date: 2026-06-10</t>
        </is>
      </c>
      <c r="I18" s="15" t="inlineStr">
        <is>
          <t>'Confirm Schedule' is disabled until a date is selected; once a date is chosen it becomes enabled. Confirming triggers the add-to-schedule flow (CL-046) and resets the temp date.</t>
        </is>
      </c>
      <c r="J18" s="15" t="inlineStr">
        <is>
          <t>POST /api/exotel/scheduler</t>
        </is>
      </c>
      <c r="K18" s="11" t="inlineStr"/>
      <c r="L18" s="12" t="inlineStr">
        <is>
          <t>Not Executed</t>
        </is>
      </c>
      <c r="M18" s="12" t="inlineStr"/>
      <c r="N18" s="12" t="inlineStr"/>
      <c r="O18" s="12" t="inlineStr"/>
      <c r="P18" s="11" t="inlineStr"/>
    </row>
    <row r="19" ht="75" customHeight="1">
      <c r="A19" s="8" t="inlineStr">
        <is>
          <t>CL-018</t>
        </is>
      </c>
      <c r="B19" s="9" t="inlineStr">
        <is>
          <t>Staff Registry Sidebar</t>
        </is>
      </c>
      <c r="C19" s="9" t="inlineStr">
        <is>
          <t>Staff Registry loads agents with On Duty/Off and 'Ready' count</t>
        </is>
      </c>
      <c r="D19" s="10" t="inlineStr">
        <is>
          <t>High</t>
        </is>
      </c>
      <c r="E19" s="9" t="inlineStr">
        <is>
          <t>Functional</t>
        </is>
      </c>
      <c r="F19" s="9" t="inlineStr">
        <is>
          <t>Admin on Dial tab; &gt;=2 active providers.</t>
        </is>
      </c>
      <c r="G19" s="9" t="inlineStr">
        <is>
          <t>1. Observe the right-hand 'Staff Registry - Active care providers' card.
2. Read each agent's status chip and the header 'X Ready' badge.</t>
        </is>
      </c>
      <c r="H19" s="9" t="inlineStr">
        <is>
          <t>2 providers</t>
        </is>
      </c>
      <c r="I19" s="9" t="inlineStr">
        <is>
          <t>GET /api/exotel/agents returns providers; each renders initial avatar, name, 'On Duty'/'Off' chip and (if applicable) 'Busy'; header badge shows count of agents that are active AND not busy.</t>
        </is>
      </c>
      <c r="J19" s="9" t="inlineStr">
        <is>
          <t>GET /api/exotel/agents</t>
        </is>
      </c>
      <c r="K19" s="11" t="inlineStr"/>
      <c r="L19" s="12" t="inlineStr">
        <is>
          <t>Not Executed</t>
        </is>
      </c>
      <c r="M19" s="12" t="inlineStr"/>
      <c r="N19" s="12" t="inlineStr"/>
      <c r="O19" s="12" t="inlineStr"/>
      <c r="P19" s="11" t="inlineStr"/>
    </row>
    <row r="20" ht="75" customHeight="1">
      <c r="A20" s="8" t="inlineStr">
        <is>
          <t>CL-019</t>
        </is>
      </c>
      <c r="B20" s="9" t="inlineStr">
        <is>
          <t>Staff Registry Sidebar</t>
        </is>
      </c>
      <c r="C20" s="9" t="inlineStr">
        <is>
          <t>Toggle an agent On Duty persists via PUT and updates optimistically</t>
        </is>
      </c>
      <c r="D20" s="10" t="inlineStr">
        <is>
          <t>High</t>
        </is>
      </c>
      <c r="E20" s="9" t="inlineStr">
        <is>
          <t>Functional</t>
        </is>
      </c>
      <c r="F20" s="9" t="inlineStr">
        <is>
          <t>Admin on Dial tab; agent currently Off.</t>
        </is>
      </c>
      <c r="G20" s="9" t="inlineStr">
        <is>
          <t>1. Click the toggle (PhoneForwarded) button on an Off agent.
2. Observe the chip and the 'Ready' count.
3. Check the Network tab for the PUT call and payload.</t>
        </is>
      </c>
      <c r="H20" s="9" t="inlineStr">
        <is>
          <t>provider_id of the chosen agent</t>
        </is>
      </c>
      <c r="I20" s="9" t="inlineStr">
        <is>
          <t>Chip flips to 'On Duty' immediately (optimistic); PUT /api/exotel/agent-status fires with body {provider_id, is_on_duty:true} and returns 200; 'Ready' count increments.</t>
        </is>
      </c>
      <c r="J20" s="9" t="inlineStr">
        <is>
          <t>PUT /api/exotel/agent-status</t>
        </is>
      </c>
      <c r="K20" s="11" t="inlineStr"/>
      <c r="L20" s="12" t="inlineStr">
        <is>
          <t>Not Executed</t>
        </is>
      </c>
      <c r="M20" s="12" t="inlineStr"/>
      <c r="N20" s="12" t="inlineStr"/>
      <c r="O20" s="12" t="inlineStr"/>
      <c r="P20" s="11" t="inlineStr"/>
    </row>
    <row r="21" ht="75" customHeight="1">
      <c r="A21" s="8" t="inlineStr">
        <is>
          <t>CL-020</t>
        </is>
      </c>
      <c r="B21" s="9" t="inlineStr">
        <is>
          <t>Staff Registry Sidebar</t>
        </is>
      </c>
      <c r="C21" s="9" t="inlineStr">
        <is>
          <t>Agent-status PUT failure reverts the optimistic toggle</t>
        </is>
      </c>
      <c r="D21" s="13" t="inlineStr">
        <is>
          <t>Medium</t>
        </is>
      </c>
      <c r="E21" s="9" t="inlineStr">
        <is>
          <t>Negative</t>
        </is>
      </c>
      <c r="F21" s="9" t="inlineStr">
        <is>
          <t>Admin on Dial tab; force PUT /api/exotel/agent-status to 500.</t>
        </is>
      </c>
      <c r="G21" s="9" t="inlineStr">
        <is>
          <t>1. Block / fail the agent-status endpoint in DevTools.
2. Toggle an agent's duty status.
3. Observe the chip after the request fails.</t>
        </is>
      </c>
      <c r="H21" s="9" t="inlineStr">
        <is>
          <t>N/A</t>
        </is>
      </c>
      <c r="I21" s="9" t="inlineStr">
        <is>
          <t>Chip first flips optimistically then reverts to its previous state when the PUT rejects; no crash. (Note: no error toast is shown on this path — confirm chip reversion only.)</t>
        </is>
      </c>
      <c r="J21" s="9" t="inlineStr">
        <is>
          <t>PUT /api/exotel/agent-status</t>
        </is>
      </c>
      <c r="K21" s="11" t="inlineStr"/>
      <c r="L21" s="12" t="inlineStr">
        <is>
          <t>Not Executed</t>
        </is>
      </c>
      <c r="M21" s="12" t="inlineStr"/>
      <c r="N21" s="12" t="inlineStr"/>
      <c r="O21" s="12" t="inlineStr"/>
      <c r="P21" s="11" t="inlineStr"/>
    </row>
    <row r="22" ht="60" customHeight="1">
      <c r="A22" s="8" t="inlineStr">
        <is>
          <t>CL-021</t>
        </is>
      </c>
      <c r="B22" s="9" t="inlineStr">
        <is>
          <t>Staff Registry Sidebar</t>
        </is>
      </c>
      <c r="C22" s="9" t="inlineStr">
        <is>
          <t>All staff off/busy shows 'Full busy / offline' warning</t>
        </is>
      </c>
      <c r="D22" s="19" t="inlineStr">
        <is>
          <t>Low</t>
        </is>
      </c>
      <c r="E22" s="9" t="inlineStr">
        <is>
          <t>UI/UX</t>
        </is>
      </c>
      <c r="F22" s="9" t="inlineStr">
        <is>
          <t>Admin on Dial tab; at least one agent exists but none are available.</t>
        </is>
      </c>
      <c r="G22" s="9" t="inlineStr">
        <is>
          <t>1. Toggle all agents to Off (or ensure all are busy).
2. Observe the bottom of the Staff Registry.</t>
        </is>
      </c>
      <c r="H22" s="9" t="inlineStr">
        <is>
          <t>N/A</t>
        </is>
      </c>
      <c r="I22" s="9" t="inlineStr">
        <is>
          <t>When availableCount is 0 but agents exist, the amber 'Full busy / offline' banner is shown and the header badge reads '0 Ready'.</t>
        </is>
      </c>
      <c r="J22" s="9" t="inlineStr">
        <is>
          <t>N/A</t>
        </is>
      </c>
      <c r="K22" s="11" t="inlineStr"/>
      <c r="L22" s="12" t="inlineStr">
        <is>
          <t>Not Executed</t>
        </is>
      </c>
      <c r="M22" s="12" t="inlineStr"/>
      <c r="N22" s="12" t="inlineStr"/>
      <c r="O22" s="12" t="inlineStr"/>
      <c r="P22" s="11" t="inlineStr"/>
    </row>
    <row r="23" ht="45" customHeight="1">
      <c r="A23" s="8" t="inlineStr">
        <is>
          <t>CL-022</t>
        </is>
      </c>
      <c r="B23" s="9" t="inlineStr">
        <is>
          <t>Staff Registry Sidebar</t>
        </is>
      </c>
      <c r="C23" s="9" t="inlineStr">
        <is>
          <t>No staff returns empty registry message</t>
        </is>
      </c>
      <c r="D23" s="19" t="inlineStr">
        <is>
          <t>Low</t>
        </is>
      </c>
      <c r="E23" s="9" t="inlineStr">
        <is>
          <t>Edge Case</t>
        </is>
      </c>
      <c r="F23" s="9" t="inlineStr">
        <is>
          <t>Admin on Dial tab; no active providers in DB.</t>
        </is>
      </c>
      <c r="G23" s="9" t="inlineStr">
        <is>
          <t>1. Open the Dial tab with zero active providers.
2. Observe the Staff Registry body.</t>
        </is>
      </c>
      <c r="H23" s="9" t="inlineStr">
        <is>
          <t>N/A</t>
        </is>
      </c>
      <c r="I23" s="9" t="inlineStr">
        <is>
          <t>The registry shows the empty state 'No staff members found.' with a user icon; header badge reads '0 Ready'.</t>
        </is>
      </c>
      <c r="J23" s="9" t="inlineStr">
        <is>
          <t>GET /api/exotel/agents</t>
        </is>
      </c>
      <c r="K23" s="11" t="inlineStr"/>
      <c r="L23" s="12" t="inlineStr">
        <is>
          <t>Not Executed</t>
        </is>
      </c>
      <c r="M23" s="12" t="inlineStr"/>
      <c r="N23" s="12" t="inlineStr"/>
      <c r="O23" s="12" t="inlineStr"/>
      <c r="P23" s="11" t="inlineStr"/>
    </row>
    <row r="24" ht="75" customHeight="1">
      <c r="A24" s="8" t="inlineStr">
        <is>
          <t>CL-023</t>
        </is>
      </c>
      <c r="B24" s="9" t="inlineStr">
        <is>
          <t>Staff Registry Sidebar</t>
        </is>
      </c>
      <c r="C24" s="9" t="inlineStr">
        <is>
          <t>Staff Registry client-side pagination</t>
        </is>
      </c>
      <c r="D24" s="19" t="inlineStr">
        <is>
          <t>Low</t>
        </is>
      </c>
      <c r="E24" s="9" t="inlineStr">
        <is>
          <t>Functional</t>
        </is>
      </c>
      <c r="F24" s="9" t="inlineStr">
        <is>
          <t>Admin on Dial tab; &gt;10 active providers.</t>
        </is>
      </c>
      <c r="G24" s="9" t="inlineStr">
        <is>
          <t>1. Observe 'Page 1 / N' footer.
2. Click 'Next', then 'Previous'.</t>
        </is>
      </c>
      <c r="H24" s="9" t="inlineStr">
        <is>
          <t>11 providers</t>
        </is>
      </c>
      <c r="I24" s="9" t="inlineStr">
        <is>
          <t>Agents are paginated client-side (slice of 10); footer shows correct page; Previous disabled on page 1, Next disabled on the last page. No new network call (agents already in memory).</t>
        </is>
      </c>
      <c r="J24" s="9" t="inlineStr">
        <is>
          <t>N/A</t>
        </is>
      </c>
      <c r="K24" s="11" t="inlineStr"/>
      <c r="L24" s="12" t="inlineStr">
        <is>
          <t>Not Executed</t>
        </is>
      </c>
      <c r="M24" s="12" t="inlineStr"/>
      <c r="N24" s="12" t="inlineStr"/>
      <c r="O24" s="12" t="inlineStr"/>
      <c r="P24" s="11" t="inlineStr"/>
    </row>
    <row r="25" ht="105" customHeight="1">
      <c r="A25" s="14" t="inlineStr">
        <is>
          <t>CL-024</t>
        </is>
      </c>
      <c r="B25" s="15" t="inlineStr">
        <is>
          <t>Initiate Call (Exotel)</t>
        </is>
      </c>
      <c r="C25" s="15" t="inlineStr">
        <is>
          <t>Initiate a call to a patient with an available agent succeeds</t>
        </is>
      </c>
      <c r="D25" s="16" t="inlineStr">
        <is>
          <t>High</t>
        </is>
      </c>
      <c r="E25" s="15" t="inlineStr">
        <is>
          <t>Functional</t>
        </is>
      </c>
      <c r="F25" s="15" t="inlineStr">
        <is>
          <t>Admin on Dial tab; at least one On Duty + not-busy agent; patient with a valid +91 number; valid Exotel creds.</t>
        </is>
      </c>
      <c r="G25" s="15" t="inlineStr">
        <is>
          <t>1. Ensure one agent is On Duty.
2. Click 'Call' (or 'Call Patient' from the dropdown) on a patient with a phone number.
3. Observe the toast, the button label, the Live HUD and the Network tab.</t>
        </is>
      </c>
      <c r="H25" s="15" t="inlineStr">
        <is>
          <t>Patient Ramesh Kumar +91 99000 11223</t>
        </is>
      </c>
      <c r="I25" s="15" t="inlineStr">
        <is>
          <t>POST /api/exotel/make-call fires with {from: agent clean phone, to: patient clean phone, patient_name, provider_name}; a 'Call Initiated' toast appears; the agent becomes Busy; a Live Session appears in the Call HUD; on a returned Sid the button reads 'Connected'.</t>
        </is>
      </c>
      <c r="J25" s="15" t="inlineStr">
        <is>
          <t>POST /api/exotel/make-call</t>
        </is>
      </c>
      <c r="K25" s="11" t="inlineStr"/>
      <c r="L25" s="12" t="inlineStr">
        <is>
          <t>Not Executed</t>
        </is>
      </c>
      <c r="M25" s="12" t="inlineStr"/>
      <c r="N25" s="12" t="inlineStr"/>
      <c r="O25" s="12" t="inlineStr"/>
      <c r="P25" s="11" t="inlineStr"/>
    </row>
    <row r="26" ht="60" customHeight="1">
      <c r="A26" s="14" t="inlineStr">
        <is>
          <t>CL-025</t>
        </is>
      </c>
      <c r="B26" s="15" t="inlineStr">
        <is>
          <t>Initiate Call (Exotel)</t>
        </is>
      </c>
      <c r="C26" s="15" t="inlineStr">
        <is>
          <t>Call blocked when no staff are On Duty</t>
        </is>
      </c>
      <c r="D26" s="16" t="inlineStr">
        <is>
          <t>High</t>
        </is>
      </c>
      <c r="E26" s="15" t="inlineStr">
        <is>
          <t>Negative</t>
        </is>
      </c>
      <c r="F26" s="15" t="inlineStr">
        <is>
          <t>Admin on Dial tab; all agents Off (or busy).</t>
        </is>
      </c>
      <c r="G26" s="15" t="inlineStr">
        <is>
          <t>1. Ensure no agent is available.
2. Click 'Call' on any patient.</t>
        </is>
      </c>
      <c r="H26" s="15" t="inlineStr">
        <is>
          <t>N/A</t>
        </is>
      </c>
      <c r="I26" s="15" t="inlineStr">
        <is>
          <t>No make-call request is sent; a destructive toast 'Staff Offline - Please set at least one staff member to On Duty in the sidebar before calling.' is shown.</t>
        </is>
      </c>
      <c r="J26" s="15" t="inlineStr">
        <is>
          <t>N/A (guard before POST /api/exotel/make-call)</t>
        </is>
      </c>
      <c r="K26" s="11" t="inlineStr"/>
      <c r="L26" s="12" t="inlineStr">
        <is>
          <t>Not Executed</t>
        </is>
      </c>
      <c r="M26" s="12" t="inlineStr"/>
      <c r="N26" s="12" t="inlineStr"/>
      <c r="O26" s="12" t="inlineStr"/>
      <c r="P26" s="11" t="inlineStr"/>
    </row>
    <row r="27" ht="60" customHeight="1">
      <c r="A27" s="14" t="inlineStr">
        <is>
          <t>CL-026</t>
        </is>
      </c>
      <c r="B27" s="15" t="inlineStr">
        <is>
          <t>Initiate Call (Exotel)</t>
        </is>
      </c>
      <c r="C27" s="15" t="inlineStr">
        <is>
          <t>Call blocked when the target patient has no phone number</t>
        </is>
      </c>
      <c r="D27" s="16" t="inlineStr">
        <is>
          <t>High</t>
        </is>
      </c>
      <c r="E27" s="15" t="inlineStr">
        <is>
          <t>Negative</t>
        </is>
      </c>
      <c r="F27" s="15" t="inlineStr">
        <is>
          <t>Admin on Dial tab; one agent On Duty; a patient with no phone on file.</t>
        </is>
      </c>
      <c r="G27" s="15" t="inlineStr">
        <is>
          <t>1. Click 'Call' on the patient that has no phone.
2. Observe the toast.</t>
        </is>
      </c>
      <c r="H27" s="15" t="inlineStr">
        <is>
          <t>Patient with no phone/contact</t>
        </is>
      </c>
      <c r="I27" s="15" t="inlineStr">
        <is>
          <t>No make-call request; destructive toast 'Missing Number - Could not find phone number for Target.' is shown (and 'Staff' if the agent number is missing).</t>
        </is>
      </c>
      <c r="J27" s="15" t="inlineStr">
        <is>
          <t>N/A (guard before POST /api/exotel/make-call)</t>
        </is>
      </c>
      <c r="K27" s="11" t="inlineStr"/>
      <c r="L27" s="12" t="inlineStr">
        <is>
          <t>Not Executed</t>
        </is>
      </c>
      <c r="M27" s="12" t="inlineStr"/>
      <c r="N27" s="12" t="inlineStr"/>
      <c r="O27" s="12" t="inlineStr"/>
      <c r="P27" s="11" t="inlineStr"/>
    </row>
    <row r="28" ht="75" customHeight="1">
      <c r="A28" s="14" t="inlineStr">
        <is>
          <t>CL-027</t>
        </is>
      </c>
      <c r="B28" s="15" t="inlineStr">
        <is>
          <t>Initiate Call (Exotel)</t>
        </is>
      </c>
      <c r="C28" s="15" t="inlineStr">
        <is>
          <t>Initiate a call to the caregiver number from the dropdown</t>
        </is>
      </c>
      <c r="D28" s="17" t="inlineStr">
        <is>
          <t>Medium</t>
        </is>
      </c>
      <c r="E28" s="15" t="inlineStr">
        <is>
          <t>Functional</t>
        </is>
      </c>
      <c r="F28" s="15" t="inlineStr">
        <is>
          <t>Admin on Dial tab; agent On Duty; caregiver-enabled patient.</t>
        </is>
      </c>
      <c r="G28" s="15" t="inlineStr">
        <is>
          <t>1. Open 'Call Options' on the caregiver patient.
2. Click 'Call Caregiver'.
3. Inspect the make-call payload.</t>
        </is>
      </c>
      <c r="H28" s="15" t="inlineStr">
        <is>
          <t>Lakshmi Iyer, caregiver +91 98860 12345</t>
        </is>
      </c>
      <c r="I28" s="15" t="inlineStr">
        <is>
          <t>POST /api/exotel/make-call uses the caregiver's cleaned phone as 'to'; the HUD session name reflects the caregiver/target name; patient_name in the payload is still the patient's full_name.</t>
        </is>
      </c>
      <c r="J28" s="15" t="inlineStr">
        <is>
          <t>POST /api/exotel/make-call</t>
        </is>
      </c>
      <c r="K28" s="11" t="inlineStr"/>
      <c r="L28" s="12" t="inlineStr">
        <is>
          <t>Not Executed</t>
        </is>
      </c>
      <c r="M28" s="12" t="inlineStr"/>
      <c r="N28" s="12" t="inlineStr"/>
      <c r="O28" s="12" t="inlineStr"/>
      <c r="P28" s="11" t="inlineStr"/>
    </row>
    <row r="29" ht="90" customHeight="1">
      <c r="A29" s="14" t="inlineStr">
        <is>
          <t>CL-028</t>
        </is>
      </c>
      <c r="B29" s="15" t="inlineStr">
        <is>
          <t>Initiate Call (Exotel)</t>
        </is>
      </c>
      <c r="C29" s="15" t="inlineStr">
        <is>
          <t>Exotel 403 (invalid credentials) shows Authentication Failed toast</t>
        </is>
      </c>
      <c r="D29" s="16" t="inlineStr">
        <is>
          <t>High</t>
        </is>
      </c>
      <c r="E29" s="15" t="inlineStr">
        <is>
          <t>Negative</t>
        </is>
      </c>
      <c r="F29" s="15" t="inlineStr">
        <is>
          <t>Admin on Dial tab; agent On Duty; backend Exotel API_KEY/API_TOKEN invalid.</t>
        </is>
      </c>
      <c r="G29" s="15" t="inlineStr">
        <is>
          <t>1. Click 'Call' on a valid patient.
2. Observe the toast and Network response.</t>
        </is>
      </c>
      <c r="H29" s="15" t="inlineStr">
        <is>
          <t>Invalid Exotel creds</t>
        </is>
      </c>
      <c r="I29" s="15" t="inlineStr">
        <is>
          <t>make-call passes through a 403 from Exotel; UI shows destructive toast 'Authentication Failed - Exotel credentials (API Key/Token) are invalid. Please check your configuration.'; the agent's busy flag is cleared and the temp session is removed.</t>
        </is>
      </c>
      <c r="J29" s="15" t="inlineStr">
        <is>
          <t>POST /api/exotel/make-call</t>
        </is>
      </c>
      <c r="K29" s="11" t="inlineStr"/>
      <c r="L29" s="12" t="inlineStr">
        <is>
          <t>Not Executed</t>
        </is>
      </c>
      <c r="M29" s="12" t="inlineStr"/>
      <c r="N29" s="12" t="inlineStr"/>
      <c r="O29" s="12" t="inlineStr"/>
      <c r="P29" s="11" t="inlineStr"/>
    </row>
    <row r="30" ht="75" customHeight="1">
      <c r="A30" s="14" t="inlineStr">
        <is>
          <t>CL-029</t>
        </is>
      </c>
      <c r="B30" s="15" t="inlineStr">
        <is>
          <t>Initiate Call (Exotel)</t>
        </is>
      </c>
      <c r="C30" s="15" t="inlineStr">
        <is>
          <t>Generic make-call failure (500) shows Dial Error and clears session</t>
        </is>
      </c>
      <c r="D30" s="17" t="inlineStr">
        <is>
          <t>Medium</t>
        </is>
      </c>
      <c r="E30" s="15" t="inlineStr">
        <is>
          <t>Negative</t>
        </is>
      </c>
      <c r="F30" s="15" t="inlineStr">
        <is>
          <t>Admin on Dial tab; agent On Duty; force make-call to return 500.</t>
        </is>
      </c>
      <c r="G30" s="15" t="inlineStr">
        <is>
          <t>1. Force the make-call endpoint to 500.
2. Click 'Call' on a valid patient.
3. Observe the toast and the HUD.</t>
        </is>
      </c>
      <c r="H30" s="15" t="inlineStr">
        <is>
          <t>N/A</t>
        </is>
      </c>
      <c r="I30" s="15" t="inlineStr">
        <is>
          <t>Destructive toast 'Dial Error' with the error message (fallback 'Failed to connect call via Exotel.'); the optimistic Live Session is removed and the agent is no longer Busy.</t>
        </is>
      </c>
      <c r="J30" s="15" t="inlineStr">
        <is>
          <t>POST /api/exotel/make-call</t>
        </is>
      </c>
      <c r="K30" s="11" t="inlineStr"/>
      <c r="L30" s="12" t="inlineStr">
        <is>
          <t>Not Executed</t>
        </is>
      </c>
      <c r="M30" s="12" t="inlineStr"/>
      <c r="N30" s="12" t="inlineStr"/>
      <c r="O30" s="12" t="inlineStr"/>
      <c r="P30" s="11" t="inlineStr"/>
    </row>
    <row r="31" ht="45" customHeight="1">
      <c r="A31" s="14" t="inlineStr">
        <is>
          <t>CL-030</t>
        </is>
      </c>
      <c r="B31" s="15" t="inlineStr">
        <is>
          <t>Initiate Call (Exotel)</t>
        </is>
      </c>
      <c r="C31" s="15" t="inlineStr">
        <is>
          <t>make-call request omitting from/to is rejected (400) by backend</t>
        </is>
      </c>
      <c r="D31" s="17" t="inlineStr">
        <is>
          <t>Medium</t>
        </is>
      </c>
      <c r="E31" s="15" t="inlineStr">
        <is>
          <t>API</t>
        </is>
      </c>
      <c r="F31" s="15" t="inlineStr">
        <is>
          <t>Tooling to POST directly (Postman/curl) to the backend.</t>
        </is>
      </c>
      <c r="G31" s="15" t="inlineStr">
        <is>
          <t>1. POST /api/exotel/make-call with body {} (no from/to).
2. Inspect the response.</t>
        </is>
      </c>
      <c r="H31" s="15" t="inlineStr">
        <is>
          <t>Body: {}</t>
        </is>
      </c>
      <c r="I31" s="15" t="inlineStr">
        <is>
          <t>Backend returns 400 with {"error":"Missing from or to number"}.</t>
        </is>
      </c>
      <c r="J31" s="15" t="inlineStr">
        <is>
          <t>POST /api/exotel/make-call</t>
        </is>
      </c>
      <c r="K31" s="11" t="inlineStr"/>
      <c r="L31" s="12" t="inlineStr">
        <is>
          <t>Not Executed</t>
        </is>
      </c>
      <c r="M31" s="12" t="inlineStr"/>
      <c r="N31" s="12" t="inlineStr"/>
      <c r="O31" s="12" t="inlineStr"/>
      <c r="P31" s="11" t="inlineStr"/>
    </row>
    <row r="32" ht="60" customHeight="1">
      <c r="A32" s="14" t="inlineStr">
        <is>
          <t>CL-031</t>
        </is>
      </c>
      <c r="B32" s="15" t="inlineStr">
        <is>
          <t>Initiate Call (Exotel)</t>
        </is>
      </c>
      <c r="C32" s="15" t="inlineStr">
        <is>
          <t>Re-clicking Call on an already-dialing patient is prevented</t>
        </is>
      </c>
      <c r="D32" s="18" t="inlineStr">
        <is>
          <t>Low</t>
        </is>
      </c>
      <c r="E32" s="15" t="inlineStr">
        <is>
          <t>Edge Case</t>
        </is>
      </c>
      <c r="F32" s="15" t="inlineStr">
        <is>
          <t>Admin; a call is already initiated for a patient (HUD session active).</t>
        </is>
      </c>
      <c r="G32" s="15" t="inlineStr">
        <is>
          <t>1. Initiate a call on a patient.
2. Attempt to click the same patient's call button again while it shows 'Dialing...'/'Connected'.</t>
        </is>
      </c>
      <c r="H32" s="15" t="inlineStr">
        <is>
          <t>N/A</t>
        </is>
      </c>
      <c r="I32" s="15" t="inlineStr">
        <is>
          <t>The button is disabled (isCalling true) and shows a spinner with 'Dialing...' then 'Connected'; no duplicate make-call is sent for that patient.</t>
        </is>
      </c>
      <c r="J32" s="15" t="inlineStr">
        <is>
          <t>N/A</t>
        </is>
      </c>
      <c r="K32" s="11" t="inlineStr"/>
      <c r="L32" s="12" t="inlineStr">
        <is>
          <t>Not Executed</t>
        </is>
      </c>
      <c r="M32" s="12" t="inlineStr"/>
      <c r="N32" s="12" t="inlineStr"/>
      <c r="O32" s="12" t="inlineStr"/>
      <c r="P32" s="11" t="inlineStr"/>
    </row>
    <row r="33" ht="75" customHeight="1">
      <c r="A33" s="8" t="inlineStr">
        <is>
          <t>CL-032</t>
        </is>
      </c>
      <c r="B33" s="9" t="inlineStr">
        <is>
          <t>Live Call HUD</t>
        </is>
      </c>
      <c r="C33" s="9" t="inlineStr">
        <is>
          <t>Call HUD appears with active sessions and collapses/expands</t>
        </is>
      </c>
      <c r="D33" s="13" t="inlineStr">
        <is>
          <t>Medium</t>
        </is>
      </c>
      <c r="E33" s="9" t="inlineStr">
        <is>
          <t>UI/UX</t>
        </is>
      </c>
      <c r="F33" s="9" t="inlineStr">
        <is>
          <t>Admin; at least one active call session.</t>
        </is>
      </c>
      <c r="G33" s="9" t="inlineStr">
        <is>
          <t>1. Initiate a call so a session is active.
2. Observe the fixed bottom-right HUD header 'Live Sessions (N)'.
3. Click the chevron to collapse, then expand.</t>
        </is>
      </c>
      <c r="H33" s="9" t="inlineStr">
        <is>
          <t>N/A</t>
        </is>
      </c>
      <c r="I33" s="9" t="inlineStr">
        <is>
          <t>HUD shows a pulsing green dot and 'Live Sessions (1)'; each row shows patient/target name and 'with &lt;first agent name&gt;'. Chevron toggles the body open/closed. With zero sessions the HUD is not rendered.</t>
        </is>
      </c>
      <c r="J33" s="9" t="inlineStr">
        <is>
          <t>N/A</t>
        </is>
      </c>
      <c r="K33" s="11" t="inlineStr"/>
      <c r="L33" s="12" t="inlineStr">
        <is>
          <t>Not Executed</t>
        </is>
      </c>
      <c r="M33" s="12" t="inlineStr"/>
      <c r="N33" s="12" t="inlineStr"/>
      <c r="O33" s="12" t="inlineStr"/>
      <c r="P33" s="11" t="inlineStr"/>
    </row>
    <row r="34" ht="75" customHeight="1">
      <c r="A34" s="8" t="inlineStr">
        <is>
          <t>CL-033</t>
        </is>
      </c>
      <c r="B34" s="9" t="inlineStr">
        <is>
          <t>Live Call HUD</t>
        </is>
      </c>
      <c r="C34" s="9" t="inlineStr">
        <is>
          <t>End Session from the HUD frees the agent and removes the session</t>
        </is>
      </c>
      <c r="D34" s="10" t="inlineStr">
        <is>
          <t>High</t>
        </is>
      </c>
      <c r="E34" s="9" t="inlineStr">
        <is>
          <t>Functional</t>
        </is>
      </c>
      <c r="F34" s="9" t="inlineStr">
        <is>
          <t>Admin; an active call session in the HUD; agent marked Busy.</t>
        </is>
      </c>
      <c r="G34" s="9" t="inlineStr">
        <is>
          <t>1. In the HUD, click the red X 'End Session' on the session.
2. Observe the HUD, the toast and the agent's Busy chip.</t>
        </is>
      </c>
      <c r="H34" s="9" t="inlineStr">
        <is>
          <t>N/A</t>
        </is>
      </c>
      <c r="I34" s="9" t="inlineStr">
        <is>
          <t>The session is removed from the HUD; toast 'Call Session Ended - You are now available for new calls.'; the associated agent's Busy flag clears (becomes available again).</t>
        </is>
      </c>
      <c r="J34" s="9" t="inlineStr">
        <is>
          <t>N/A</t>
        </is>
      </c>
      <c r="K34" s="11" t="inlineStr"/>
      <c r="L34" s="12" t="inlineStr">
        <is>
          <t>Not Executed</t>
        </is>
      </c>
      <c r="M34" s="12" t="inlineStr"/>
      <c r="N34" s="12" t="inlineStr"/>
      <c r="O34" s="12" t="inlineStr"/>
      <c r="P34" s="11" t="inlineStr"/>
    </row>
    <row r="35" ht="45" customHeight="1">
      <c r="A35" s="8" t="inlineStr">
        <is>
          <t>CL-034</t>
        </is>
      </c>
      <c r="B35" s="9" t="inlineStr">
        <is>
          <t>Live Call HUD</t>
        </is>
      </c>
      <c r="C35" s="9" t="inlineStr">
        <is>
          <t>Document (SOP) button in HUD opens the SOP modal pre-filled</t>
        </is>
      </c>
      <c r="D35" s="13" t="inlineStr">
        <is>
          <t>Medium</t>
        </is>
      </c>
      <c r="E35" s="9" t="inlineStr">
        <is>
          <t>Functional</t>
        </is>
      </c>
      <c r="F35" s="9" t="inlineStr">
        <is>
          <t>Admin; an active session in the HUD.</t>
        </is>
      </c>
      <c r="G35" s="9" t="inlineStr">
        <is>
          <t>1. Click the clipboard 'Document Call (SOP)' icon on a HUD session.
2. Observe the SOP modal.</t>
        </is>
      </c>
      <c r="H35" s="9" t="inlineStr">
        <is>
          <t>N/A</t>
        </is>
      </c>
      <c r="I35" s="9" t="inlineStr">
        <is>
          <t>The SOP Documentation modal opens with Patient Name pre-filled from the session and editable SOP fields (see CL-037).</t>
        </is>
      </c>
      <c r="J35" s="9" t="inlineStr">
        <is>
          <t>N/A</t>
        </is>
      </c>
      <c r="K35" s="11" t="inlineStr"/>
      <c r="L35" s="12" t="inlineStr">
        <is>
          <t>Not Executed</t>
        </is>
      </c>
      <c r="M35" s="12" t="inlineStr"/>
      <c r="N35" s="12" t="inlineStr"/>
      <c r="O35" s="12" t="inlineStr"/>
      <c r="P35" s="11" t="inlineStr"/>
    </row>
    <row r="36" ht="75" customHeight="1">
      <c r="A36" s="8" t="inlineStr">
        <is>
          <t>CL-035</t>
        </is>
      </c>
      <c r="B36" s="9" t="inlineStr">
        <is>
          <t>Live Call HUD</t>
        </is>
      </c>
      <c r="C36" s="9" t="inlineStr">
        <is>
          <t>Call-status polling auto-ends a session on terminal status</t>
        </is>
      </c>
      <c r="D36" s="13" t="inlineStr">
        <is>
          <t>Medium</t>
        </is>
      </c>
      <c r="E36" s="9" t="inlineStr">
        <is>
          <t>Functional</t>
        </is>
      </c>
      <c r="F36" s="9" t="inlineStr">
        <is>
          <t>Admin; an active session that has a returned Exotel Sid.</t>
        </is>
      </c>
      <c r="G36" s="9" t="inlineStr">
        <is>
          <t>1. Initiate a call that returns a Sid.
2. Have the call reach a terminal status (completed/failed/busy/no-answer/canceled) on the Exotel side.
3. Wait up to ~5s and observe the HUD.</t>
        </is>
      </c>
      <c r="H36" s="9" t="inlineStr">
        <is>
          <t>N/A</t>
        </is>
      </c>
      <c r="I36" s="9" t="inlineStr">
        <is>
          <t>Every 5s the UI polls GET /api/exotel/call-status/&lt;sid&gt;; when the returned Status is terminal the session is auto-ended (removed from HUD, agent freed). Failed status checks are swallowed silently.</t>
        </is>
      </c>
      <c r="J36" s="9" t="inlineStr">
        <is>
          <t>GET /api/exotel/call-status/{call_sid}</t>
        </is>
      </c>
      <c r="K36" s="11" t="inlineStr"/>
      <c r="L36" s="12" t="inlineStr">
        <is>
          <t>Not Executed</t>
        </is>
      </c>
      <c r="M36" s="12" t="inlineStr"/>
      <c r="N36" s="12" t="inlineStr"/>
      <c r="O36" s="12" t="inlineStr"/>
      <c r="P36" s="11" t="inlineStr"/>
    </row>
    <row r="37" ht="75" customHeight="1">
      <c r="A37" s="8" t="inlineStr">
        <is>
          <t>CL-036</t>
        </is>
      </c>
      <c r="B37" s="9" t="inlineStr">
        <is>
          <t>Live Call HUD</t>
        </is>
      </c>
      <c r="C37" s="9" t="inlineStr">
        <is>
          <t>Dialing session auto-clears after 30s if it never connects</t>
        </is>
      </c>
      <c r="D37" s="19" t="inlineStr">
        <is>
          <t>Low</t>
        </is>
      </c>
      <c r="E37" s="9" t="inlineStr">
        <is>
          <t>Edge Case</t>
        </is>
      </c>
      <c r="F37" s="9" t="inlineStr">
        <is>
          <t>Admin; a make-call that never transitions to in-progress (no Sid).</t>
        </is>
      </c>
      <c r="G37" s="9" t="inlineStr">
        <is>
          <t>1. Initiate a call where no Sid/in-progress status is returned.
2. Wait ~30 seconds without acting.
3. Observe the HUD and the agent status.</t>
        </is>
      </c>
      <c r="H37" s="9" t="inlineStr">
        <is>
          <t>N/A</t>
        </is>
      </c>
      <c r="I37" s="9" t="inlineStr">
        <is>
          <t>After 30s the unconnected session is removed and the agent's Busy flag is cleared automatically (per the setTimeout cleanup). A session already 'in-progress' is left intact.</t>
        </is>
      </c>
      <c r="J37" s="9" t="inlineStr">
        <is>
          <t>N/A</t>
        </is>
      </c>
      <c r="K37" s="11" t="inlineStr"/>
      <c r="L37" s="12" t="inlineStr">
        <is>
          <t>Not Executed</t>
        </is>
      </c>
      <c r="M37" s="12" t="inlineStr"/>
      <c r="N37" s="12" t="inlineStr"/>
      <c r="O37" s="12" t="inlineStr"/>
      <c r="P37" s="11" t="inlineStr"/>
    </row>
    <row r="38" ht="150" customHeight="1">
      <c r="A38" s="14" t="inlineStr">
        <is>
          <t>CL-037</t>
        </is>
      </c>
      <c r="B38" s="15" t="inlineStr">
        <is>
          <t>SOP Documentation Modal</t>
        </is>
      </c>
      <c r="C38" s="15" t="inlineStr">
        <is>
          <t>Open SOP modal from a queue row and verify all fields</t>
        </is>
      </c>
      <c r="D38" s="16" t="inlineStr">
        <is>
          <t>High</t>
        </is>
      </c>
      <c r="E38" s="15" t="inlineStr">
        <is>
          <t>UI/UX</t>
        </is>
      </c>
      <c r="F38" s="15" t="inlineStr">
        <is>
          <t>Admin on Dial tab.</t>
        </is>
      </c>
      <c r="G38" s="15" t="inlineStr">
        <is>
          <t>1. Click the clipboard 'Manual Documentation' button on a patient row.
2. Inspect every field in the modal.</t>
        </is>
      </c>
      <c r="H38" s="15" t="inlineStr">
        <is>
          <t>Any patient</t>
        </is>
      </c>
      <c r="I38" s="15" t="inlineStr">
        <is>
          <t>Modal 'Call Documentation / SOP Compliance Form' opens. Patient Name is disabled/pre-filled; editable fields: Staff/Clinician Name, Staff Phone No., Patient Phone Number, Relation (self/spouse/child/sibling/caregiver/other), Severity (low/medium/high/critical), Reason, Symptoms, Advice, Internal Notes, and an 'Flag for Roster Lead Escalation' checkbox. Close (X) and 'Save Documentation' buttons present.</t>
        </is>
      </c>
      <c r="J38" s="15" t="inlineStr">
        <is>
          <t>N/A</t>
        </is>
      </c>
      <c r="K38" s="11" t="inlineStr"/>
      <c r="L38" s="12" t="inlineStr">
        <is>
          <t>Not Executed</t>
        </is>
      </c>
      <c r="M38" s="12" t="inlineStr"/>
      <c r="N38" s="12" t="inlineStr"/>
      <c r="O38" s="12" t="inlineStr"/>
      <c r="P38" s="11" t="inlineStr"/>
    </row>
    <row r="39" ht="75" customHeight="1">
      <c r="A39" s="14" t="inlineStr">
        <is>
          <t>CL-038</t>
        </is>
      </c>
      <c r="B39" s="15" t="inlineStr">
        <is>
          <t>SOP Documentation Modal</t>
        </is>
      </c>
      <c r="C39" s="15" t="inlineStr">
        <is>
          <t>Save SOP documentation persists and shows success toast</t>
        </is>
      </c>
      <c r="D39" s="16" t="inlineStr">
        <is>
          <t>High</t>
        </is>
      </c>
      <c r="E39" s="15" t="inlineStr">
        <is>
          <t>Functional</t>
        </is>
      </c>
      <c r="F39" s="15" t="inlineStr">
        <is>
          <t>Admin; SOP modal open for a known patient.</t>
        </is>
      </c>
      <c r="G39" s="15" t="inlineStr">
        <is>
          <t>1. Fill Staff Name, Reason ('Fever follow-up'), Severity 'medium', Symptoms, Advice.
2. Click 'Save Documentation'.
3. Inspect the toast and the POST payload.</t>
        </is>
      </c>
      <c r="H39" s="15" t="inlineStr">
        <is>
          <t>Staff: Nurse Priya; Reason: Fever follow-up; Severity: medium</t>
        </is>
      </c>
      <c r="I39" s="15" t="inlineStr">
        <is>
          <t>POST /api/exotel/sop fires with the full sopData plus patient_id from selectedCall; returns 201; toast 'SOP Saved - Documentation has been persisted to the patient record.'; modal closes.</t>
        </is>
      </c>
      <c r="J39" s="15" t="inlineStr">
        <is>
          <t>POST /api/exotel/sop</t>
        </is>
      </c>
      <c r="K39" s="11" t="inlineStr"/>
      <c r="L39" s="12" t="inlineStr">
        <is>
          <t>Not Executed</t>
        </is>
      </c>
      <c r="M39" s="12" t="inlineStr"/>
      <c r="N39" s="12" t="inlineStr"/>
      <c r="O39" s="12" t="inlineStr"/>
      <c r="P39" s="11" t="inlineStr"/>
    </row>
    <row r="40" ht="75" customHeight="1">
      <c r="A40" s="14" t="inlineStr">
        <is>
          <t>CL-039</t>
        </is>
      </c>
      <c r="B40" s="15" t="inlineStr">
        <is>
          <t>SOP Documentation Modal</t>
        </is>
      </c>
      <c r="C40" s="15" t="inlineStr">
        <is>
          <t>Save SOP with the escalate flag checked refreshes the Escalated list</t>
        </is>
      </c>
      <c r="D40" s="16" t="inlineStr">
        <is>
          <t>High</t>
        </is>
      </c>
      <c r="E40" s="15" t="inlineStr">
        <is>
          <t>Data Integrity</t>
        </is>
      </c>
      <c r="F40" s="15" t="inlineStr">
        <is>
          <t>Admin; SOP modal open; severity high.</t>
        </is>
      </c>
      <c r="G40" s="15" t="inlineStr">
        <is>
          <t>1. Set Severity 'high', tick 'Flag for Roster Lead Escalation', add a Reason.
2. Click 'Save Documentation'.
3. Switch to the Escalated tab.</t>
        </is>
      </c>
      <c r="H40" s="15" t="inlineStr">
        <is>
          <t>Severity: high; escalate: true; Reason: Severe breathlessness</t>
        </is>
      </c>
      <c r="I40" s="15" t="inlineStr">
        <is>
          <t>POST /api/exotel/sop succeeds; after save the app calls GET /api/exotel/sop (escalations) again; the new escalation appears in the Escalated tab with red severity bar and 'high priority' badge.</t>
        </is>
      </c>
      <c r="J40" s="15" t="inlineStr">
        <is>
          <t>POST /api/exotel/sop ; GET /api/exotel/sop</t>
        </is>
      </c>
      <c r="K40" s="11" t="inlineStr"/>
      <c r="L40" s="12" t="inlineStr">
        <is>
          <t>Not Executed</t>
        </is>
      </c>
      <c r="M40" s="12" t="inlineStr"/>
      <c r="N40" s="12" t="inlineStr"/>
      <c r="O40" s="12" t="inlineStr"/>
      <c r="P40" s="11" t="inlineStr"/>
    </row>
    <row r="41" ht="75" customHeight="1">
      <c r="A41" s="14" t="inlineStr">
        <is>
          <t>CL-040</t>
        </is>
      </c>
      <c r="B41" s="15" t="inlineStr">
        <is>
          <t>SOP Documentation Modal</t>
        </is>
      </c>
      <c r="C41" s="15" t="inlineStr">
        <is>
          <t>SOP save failure shows destructive toast with status code</t>
        </is>
      </c>
      <c r="D41" s="17" t="inlineStr">
        <is>
          <t>Medium</t>
        </is>
      </c>
      <c r="E41" s="15" t="inlineStr">
        <is>
          <t>Negative</t>
        </is>
      </c>
      <c r="F41" s="15" t="inlineStr">
        <is>
          <t>Admin; SOP modal open; force POST /api/exotel/sop to 500.</t>
        </is>
      </c>
      <c r="G41" s="15" t="inlineStr">
        <is>
          <t>1. Force the SOP endpoint to error.
2. Fill the form and click 'Save Documentation'.</t>
        </is>
      </c>
      <c r="H41" s="15" t="inlineStr">
        <is>
          <t>N/A</t>
        </is>
      </c>
      <c r="I41" s="15" t="inlineStr">
        <is>
          <t>Destructive toast 'Save Failed (500)' (or the returned code) with the backend error message or fallback 'Could not save SOP documentation.'; the modal remains open so data is not lost.</t>
        </is>
      </c>
      <c r="J41" s="15" t="inlineStr">
        <is>
          <t>POST /api/exotel/sop</t>
        </is>
      </c>
      <c r="K41" s="11" t="inlineStr"/>
      <c r="L41" s="12" t="inlineStr">
        <is>
          <t>Not Executed</t>
        </is>
      </c>
      <c r="M41" s="12" t="inlineStr"/>
      <c r="N41" s="12" t="inlineStr"/>
      <c r="O41" s="12" t="inlineStr"/>
      <c r="P41" s="11" t="inlineStr"/>
    </row>
    <row r="42" ht="90" customHeight="1">
      <c r="A42" s="14" t="inlineStr">
        <is>
          <t>CL-041</t>
        </is>
      </c>
      <c r="B42" s="15" t="inlineStr">
        <is>
          <t>SOP Documentation Modal</t>
        </is>
      </c>
      <c r="C42" s="15" t="inlineStr">
        <is>
          <t>SOP free-text fields accept long text and special characters</t>
        </is>
      </c>
      <c r="D42" s="18" t="inlineStr">
        <is>
          <t>Low</t>
        </is>
      </c>
      <c r="E42" s="15" t="inlineStr">
        <is>
          <t>Validation</t>
        </is>
      </c>
      <c r="F42" s="15" t="inlineStr">
        <is>
          <t>Admin; SOP modal open.</t>
        </is>
      </c>
      <c r="G42" s="15" t="inlineStr">
        <is>
          <t>1. Paste a 2000+ character string into Symptoms and Internal Notes.
2. Enter special characters &amp; non-Latin script in Reason (e.g. 'Fever &lt;&gt;&amp;\"' and 'காய்ச்சல்').
3. Save and re-open via History &gt; SOP Documentation &gt; View Details.</t>
        </is>
      </c>
      <c r="H42" s="15" t="inlineStr">
        <is>
          <t>Long Lorem text; Reason: Fever &lt;&gt;&amp;\" காய்ச்சல்</t>
        </is>
      </c>
      <c r="I42" s="15" t="inlineStr">
        <is>
          <t>Long text and special/Unicode characters are accepted, saved (no truncation error, no script injection), and render correctly when viewed; no XSS executes.</t>
        </is>
      </c>
      <c r="J42" s="15" t="inlineStr">
        <is>
          <t>POST /api/exotel/sop</t>
        </is>
      </c>
      <c r="K42" s="11" t="inlineStr"/>
      <c r="L42" s="12" t="inlineStr">
        <is>
          <t>Not Executed</t>
        </is>
      </c>
      <c r="M42" s="12" t="inlineStr"/>
      <c r="N42" s="12" t="inlineStr"/>
      <c r="O42" s="12" t="inlineStr"/>
      <c r="P42" s="11" t="inlineStr"/>
    </row>
    <row r="43" ht="60" customHeight="1">
      <c r="A43" s="14" t="inlineStr">
        <is>
          <t>CL-042</t>
        </is>
      </c>
      <c r="B43" s="15" t="inlineStr">
        <is>
          <t>SOP Documentation Modal</t>
        </is>
      </c>
      <c r="C43" s="15" t="inlineStr">
        <is>
          <t>Close / X dismisses the SOP modal without saving</t>
        </is>
      </c>
      <c r="D43" s="18" t="inlineStr">
        <is>
          <t>Low</t>
        </is>
      </c>
      <c r="E43" s="15" t="inlineStr">
        <is>
          <t>Functional</t>
        </is>
      </c>
      <c r="F43" s="15" t="inlineStr">
        <is>
          <t>Admin; SOP modal open with edits.</t>
        </is>
      </c>
      <c r="G43" s="15" t="inlineStr">
        <is>
          <t>1. Enter some text in Reason.
2. Click the header X (and separately the footer 'Close').
3. Confirm no save occurred.</t>
        </is>
      </c>
      <c r="H43" s="15" t="inlineStr">
        <is>
          <t>N/A</t>
        </is>
      </c>
      <c r="I43" s="15" t="inlineStr">
        <is>
          <t>Either control closes the modal; no POST /api/exotel/sop is sent; the entered data is discarded (modal state resets on next open).</t>
        </is>
      </c>
      <c r="J43" s="15" t="inlineStr">
        <is>
          <t>N/A</t>
        </is>
      </c>
      <c r="K43" s="11" t="inlineStr"/>
      <c r="L43" s="12" t="inlineStr">
        <is>
          <t>Not Executed</t>
        </is>
      </c>
      <c r="M43" s="12" t="inlineStr"/>
      <c r="N43" s="12" t="inlineStr"/>
      <c r="O43" s="12" t="inlineStr"/>
      <c r="P43" s="11" t="inlineStr"/>
    </row>
    <row r="44" ht="105" customHeight="1">
      <c r="A44" s="8" t="inlineStr">
        <is>
          <t>CL-043</t>
        </is>
      </c>
      <c r="B44" s="9" t="inlineStr">
        <is>
          <t>History - Call Logs</t>
        </is>
      </c>
      <c r="C44" s="9" t="inlineStr">
        <is>
          <t>History tab loads Exotel call logs and stat cards</t>
        </is>
      </c>
      <c r="D44" s="10" t="inlineStr">
        <is>
          <t>High</t>
        </is>
      </c>
      <c r="E44" s="9" t="inlineStr">
        <is>
          <t>Functional</t>
        </is>
      </c>
      <c r="F44" s="9" t="inlineStr">
        <is>
          <t>Admin; Exotel returns calls for the default range (last 1 month).</t>
        </is>
      </c>
      <c r="G44" s="9" t="inlineStr">
        <is>
          <t>1. Click the 'History' tab.
2. Observe the four stat cards and the Call Logs sub-tab list.</t>
        </is>
      </c>
      <c r="H44" s="9" t="inlineStr">
        <is>
          <t>Default range: last 1 month</t>
        </is>
      </c>
      <c r="I44" s="9" t="inlineStr">
        <is>
          <t>GET /api/exotel/calls is called with start_date/end_date; stat cards show Total Volume, Inbound, Outbound, Failed/Missed (failed counts statuses failed/no-answer/busy). The CallLogs list renders one card per call with From -&gt; To, date, duration, and a status badge.</t>
        </is>
      </c>
      <c r="J44" s="9" t="inlineStr">
        <is>
          <t>GET /api/exotel/calls</t>
        </is>
      </c>
      <c r="K44" s="11" t="inlineStr"/>
      <c r="L44" s="12" t="inlineStr">
        <is>
          <t>Not Executed</t>
        </is>
      </c>
      <c r="M44" s="12" t="inlineStr"/>
      <c r="N44" s="12" t="inlineStr"/>
      <c r="O44" s="12" t="inlineStr"/>
      <c r="P44" s="11" t="inlineStr"/>
    </row>
    <row r="45" ht="60" customHeight="1">
      <c r="A45" s="8" t="inlineStr">
        <is>
          <t>CL-044</t>
        </is>
      </c>
      <c r="B45" s="9" t="inlineStr">
        <is>
          <t>History - Call Logs</t>
        </is>
      </c>
      <c r="C45" s="9" t="inlineStr">
        <is>
          <t>Call log status badge colours map correctly</t>
        </is>
      </c>
      <c r="D45" s="19" t="inlineStr">
        <is>
          <t>Low</t>
        </is>
      </c>
      <c r="E45" s="9" t="inlineStr">
        <is>
          <t>UI/UX</t>
        </is>
      </c>
      <c r="F45" s="9" t="inlineStr">
        <is>
          <t>Admin; calls with mixed statuses (completed/busy/failed/no-answer).</t>
        </is>
      </c>
      <c r="G45" s="9" t="inlineStr">
        <is>
          <t>1. On the History &gt; Call Logs sub-tab, inspect each call card's status badge.</t>
        </is>
      </c>
      <c r="H45" s="9" t="inlineStr">
        <is>
          <t>Calls with statuses completed/busy/failed/no-answer</t>
        </is>
      </c>
      <c r="I45" s="9" t="inlineStr">
        <is>
          <t>completed -&gt; green, busy -&gt; amber, failed -&gt; red, no-answer -&gt; gray; an unknown status falls back to the muted/secondary style.</t>
        </is>
      </c>
      <c r="J45" s="9" t="inlineStr">
        <is>
          <t>GET /api/exotel/calls</t>
        </is>
      </c>
      <c r="K45" s="11" t="inlineStr"/>
      <c r="L45" s="12" t="inlineStr">
        <is>
          <t>Not Executed</t>
        </is>
      </c>
      <c r="M45" s="12" t="inlineStr"/>
      <c r="N45" s="12" t="inlineStr"/>
      <c r="O45" s="12" t="inlineStr"/>
      <c r="P45" s="11" t="inlineStr"/>
    </row>
    <row r="46" ht="60" customHeight="1">
      <c r="A46" s="8" t="inlineStr">
        <is>
          <t>CL-045</t>
        </is>
      </c>
      <c r="B46" s="9" t="inlineStr">
        <is>
          <t>History - Call Logs</t>
        </is>
      </c>
      <c r="C46" s="9" t="inlineStr">
        <is>
          <t>Call recording player renders only when a RecordingUrl exists</t>
        </is>
      </c>
      <c r="D46" s="19" t="inlineStr">
        <is>
          <t>Low</t>
        </is>
      </c>
      <c r="E46" s="9" t="inlineStr">
        <is>
          <t>UI/UX</t>
        </is>
      </c>
      <c r="F46" s="9" t="inlineStr">
        <is>
          <t>Admin; at least one call with RecordingUrl and one without.</t>
        </is>
      </c>
      <c r="G46" s="9" t="inlineStr">
        <is>
          <t>1. Locate a call card that has a recording and one that does not.
2. Verify the audio player presence and that it plays.</t>
        </is>
      </c>
      <c r="H46" s="9" t="inlineStr">
        <is>
          <t>N/A</t>
        </is>
      </c>
      <c r="I46" s="9" t="inlineStr">
        <is>
          <t>Cards with RecordingUrl show a 'Recording' label and an HTML5 audio player that streams the source; cards without a recording show no player.</t>
        </is>
      </c>
      <c r="J46" s="9" t="inlineStr">
        <is>
          <t>GET /api/exotel/calls</t>
        </is>
      </c>
      <c r="K46" s="11" t="inlineStr"/>
      <c r="L46" s="12" t="inlineStr">
        <is>
          <t>Not Executed</t>
        </is>
      </c>
      <c r="M46" s="12" t="inlineStr"/>
      <c r="N46" s="12" t="inlineStr"/>
      <c r="O46" s="12" t="inlineStr"/>
      <c r="P46" s="11" t="inlineStr"/>
    </row>
    <row r="47" ht="60" customHeight="1">
      <c r="A47" s="8" t="inlineStr">
        <is>
          <t>CL-046</t>
        </is>
      </c>
      <c r="B47" s="9" t="inlineStr">
        <is>
          <t>History - Call Logs</t>
        </is>
      </c>
      <c r="C47" s="9" t="inlineStr">
        <is>
          <t>Date-range filter re-queries call logs</t>
        </is>
      </c>
      <c r="D47" s="13" t="inlineStr">
        <is>
          <t>Medium</t>
        </is>
      </c>
      <c r="E47" s="9" t="inlineStr">
        <is>
          <t>Functional</t>
        </is>
      </c>
      <c r="F47" s="9" t="inlineStr">
        <is>
          <t>Admin on History tab.</t>
        </is>
      </c>
      <c r="G47" s="9" t="inlineStr">
        <is>
          <t>1. Open the DateRangePicker and select a narrower custom range.
2. Observe the Network call and the refreshed list/stats.</t>
        </is>
      </c>
      <c r="H47" s="9" t="inlineStr">
        <is>
          <t>Range: 2026-05-01 to 2026-05-15</t>
        </is>
      </c>
      <c r="I47" s="9" t="inlineStr">
        <is>
          <t>GET /api/exotel/calls fires with the new start_date/end_date (ISO); both the stat cards and the call list refresh to reflect that window.</t>
        </is>
      </c>
      <c r="J47" s="9" t="inlineStr">
        <is>
          <t>GET /api/exotel/calls</t>
        </is>
      </c>
      <c r="K47" s="11" t="inlineStr"/>
      <c r="L47" s="12" t="inlineStr">
        <is>
          <t>Not Executed</t>
        </is>
      </c>
      <c r="M47" s="12" t="inlineStr"/>
      <c r="N47" s="12" t="inlineStr"/>
      <c r="O47" s="12" t="inlineStr"/>
      <c r="P47" s="11" t="inlineStr"/>
    </row>
    <row r="48" ht="75" customHeight="1">
      <c r="A48" s="8" t="inlineStr">
        <is>
          <t>CL-047</t>
        </is>
      </c>
      <c r="B48" s="9" t="inlineStr">
        <is>
          <t>History - Call Logs</t>
        </is>
      </c>
      <c r="C48" s="9" t="inlineStr">
        <is>
          <t>Refresh button re-fetches the active History sub-tab</t>
        </is>
      </c>
      <c r="D48" s="19" t="inlineStr">
        <is>
          <t>Low</t>
        </is>
      </c>
      <c r="E48" s="9" t="inlineStr">
        <is>
          <t>Functional</t>
        </is>
      </c>
      <c r="F48" s="9" t="inlineStr">
        <is>
          <t>Admin on History tab.</t>
        </is>
      </c>
      <c r="G48" s="9" t="inlineStr">
        <is>
          <t>1. Click the refresh (RefreshCw) icon button.
2. Observe the spinner and the Network tab.</t>
        </is>
      </c>
      <c r="H48" s="9" t="inlineStr">
        <is>
          <t>N/A</t>
        </is>
      </c>
      <c r="I48" s="9" t="inlineStr">
        <is>
          <t>On the Call Logs sub-tab it re-calls GET /api/exotel/calls (stat refresh); on the SOP sub-tab it re-calls GET /api/exotel/sop/history. The icon animates (spins) while loading.</t>
        </is>
      </c>
      <c r="J48" s="9" t="inlineStr">
        <is>
          <t>GET /api/exotel/calls</t>
        </is>
      </c>
      <c r="K48" s="11" t="inlineStr"/>
      <c r="L48" s="12" t="inlineStr">
        <is>
          <t>Not Executed</t>
        </is>
      </c>
      <c r="M48" s="12" t="inlineStr"/>
      <c r="N48" s="12" t="inlineStr"/>
      <c r="O48" s="12" t="inlineStr"/>
      <c r="P48" s="11" t="inlineStr"/>
    </row>
    <row r="49" ht="45" customHeight="1">
      <c r="A49" s="8" t="inlineStr">
        <is>
          <t>CL-048</t>
        </is>
      </c>
      <c r="B49" s="9" t="inlineStr">
        <is>
          <t>History - Call Logs</t>
        </is>
      </c>
      <c r="C49" s="9" t="inlineStr">
        <is>
          <t>Empty call history shows 'No call logs found'</t>
        </is>
      </c>
      <c r="D49" s="13" t="inlineStr">
        <is>
          <t>Medium</t>
        </is>
      </c>
      <c r="E49" s="9" t="inlineStr">
        <is>
          <t>Edge Case</t>
        </is>
      </c>
      <c r="F49" s="9" t="inlineStr">
        <is>
          <t>Admin; choose a range with no calls (e.g. far-future window).</t>
        </is>
      </c>
      <c r="G49" s="9" t="inlineStr">
        <is>
          <t>1. Select a date range with no calls.
2. Observe the Call Logs list.</t>
        </is>
      </c>
      <c r="H49" s="9" t="inlineStr">
        <is>
          <t>Range: 2030-01-01 to 2030-01-02</t>
        </is>
      </c>
      <c r="I49" s="9" t="inlineStr">
        <is>
          <t>The list shows the dashed empty card 'No call logs found' with the phone icon and helper text; stat cards read 0.</t>
        </is>
      </c>
      <c r="J49" s="9" t="inlineStr">
        <is>
          <t>GET /api/exotel/calls</t>
        </is>
      </c>
      <c r="K49" s="11" t="inlineStr"/>
      <c r="L49" s="12" t="inlineStr">
        <is>
          <t>Not Executed</t>
        </is>
      </c>
      <c r="M49" s="12" t="inlineStr"/>
      <c r="N49" s="12" t="inlineStr"/>
      <c r="O49" s="12" t="inlineStr"/>
      <c r="P49" s="11" t="inlineStr"/>
    </row>
    <row r="50" ht="60" customHeight="1">
      <c r="A50" s="8" t="inlineStr">
        <is>
          <t>CL-049</t>
        </is>
      </c>
      <c r="B50" s="9" t="inlineStr">
        <is>
          <t>History - Call Logs</t>
        </is>
      </c>
      <c r="C50" s="9" t="inlineStr">
        <is>
          <t>Call logs fetch error shows connection alert</t>
        </is>
      </c>
      <c r="D50" s="13" t="inlineStr">
        <is>
          <t>Medium</t>
        </is>
      </c>
      <c r="E50" s="9" t="inlineStr">
        <is>
          <t>Negative</t>
        </is>
      </c>
      <c r="F50" s="9" t="inlineStr">
        <is>
          <t>Admin on History tab; force GET /api/exotel/calls to fail.</t>
        </is>
      </c>
      <c r="G50" s="9" t="inlineStr">
        <is>
          <t>1. Block / fail the calls endpoint.
2. Open / refresh the Call Logs sub-tab.</t>
        </is>
      </c>
      <c r="H50" s="9" t="inlineStr">
        <is>
          <t>N/A</t>
        </is>
      </c>
      <c r="I50" s="9" t="inlineStr">
        <is>
          <t>A destructive Alert 'Unable to connect to the call server. Please check your connection.' is shown inside the CallLogs list; the page does not crash.</t>
        </is>
      </c>
      <c r="J50" s="9" t="inlineStr">
        <is>
          <t>GET /api/exotel/calls</t>
        </is>
      </c>
      <c r="K50" s="11" t="inlineStr"/>
      <c r="L50" s="12" t="inlineStr">
        <is>
          <t>Not Executed</t>
        </is>
      </c>
      <c r="M50" s="12" t="inlineStr"/>
      <c r="N50" s="12" t="inlineStr"/>
      <c r="O50" s="12" t="inlineStr"/>
      <c r="P50" s="11" t="inlineStr"/>
    </row>
    <row r="51" ht="90" customHeight="1">
      <c r="A51" s="8" t="inlineStr">
        <is>
          <t>CL-050</t>
        </is>
      </c>
      <c r="B51" s="9" t="inlineStr">
        <is>
          <t>History - Call Logs</t>
        </is>
      </c>
      <c r="C51" s="9" t="inlineStr">
        <is>
          <t>Export button generates a call-history export for the range</t>
        </is>
      </c>
      <c r="D51" s="19" t="inlineStr">
        <is>
          <t>Low</t>
        </is>
      </c>
      <c r="E51" s="9" t="inlineStr">
        <is>
          <t>Functional</t>
        </is>
      </c>
      <c r="F51" s="9" t="inlineStr">
        <is>
          <t>Admin on History tab with data in range.</t>
        </is>
      </c>
      <c r="G51" s="9" t="inlineStr">
        <is>
          <t>1. Click the Export button.
2. Observe the produced export/download.</t>
        </is>
      </c>
      <c r="H51" s="9" t="inlineStr">
        <is>
          <t>Current range</t>
        </is>
      </c>
      <c r="I51" s="9" t="inlineStr">
        <is>
          <t>The ExportButton receives exportData {summary: stats, range, message} and viewType 'call_history' and produces an export reflecting the current date range summary. (No new Exotel call required for the summary export.)</t>
        </is>
      </c>
      <c r="J51" s="9" t="inlineStr">
        <is>
          <t>N/A</t>
        </is>
      </c>
      <c r="K51" s="11" t="inlineStr"/>
      <c r="L51" s="12" t="inlineStr">
        <is>
          <t>Not Executed</t>
        </is>
      </c>
      <c r="M51" s="12" t="inlineStr"/>
      <c r="N51" s="12" t="inlineStr"/>
      <c r="O51" s="12" t="inlineStr"/>
      <c r="P51" s="11" t="inlineStr"/>
    </row>
    <row r="52" ht="90" customHeight="1">
      <c r="A52" s="14" t="inlineStr">
        <is>
          <t>CL-051</t>
        </is>
      </c>
      <c r="B52" s="15" t="inlineStr">
        <is>
          <t>History - SOP Documentation</t>
        </is>
      </c>
      <c r="C52" s="15" t="inlineStr">
        <is>
          <t>SOP Documentation sub-tab lists paginated records</t>
        </is>
      </c>
      <c r="D52" s="16" t="inlineStr">
        <is>
          <t>High</t>
        </is>
      </c>
      <c r="E52" s="15" t="inlineStr">
        <is>
          <t>Functional</t>
        </is>
      </c>
      <c r="F52" s="15" t="inlineStr">
        <is>
          <t>Admin on History tab; &gt;10 SOP records in range.</t>
        </is>
      </c>
      <c r="G52" s="15" t="inlineStr">
        <is>
          <t>1. Switch the History sub-tab to 'SOP Documentation'.
2. Observe the list, record count footer and pagination.</t>
        </is>
      </c>
      <c r="H52" s="15" t="inlineStr">
        <is>
          <t>12 SOP records</t>
        </is>
      </c>
      <c r="I52" s="15" t="inlineStr">
        <is>
          <t>GET /api/exotel/sop/history?page=1&amp;per_page=10 is called; up to 10 cards show patient name, 'By: &lt;staff&gt;', patient number, created date and a quoted reason; footer 'Showing 10 of 12'; Next enabled. Escalated records show a red 'Escalated' badge.</t>
        </is>
      </c>
      <c r="J52" s="15" t="inlineStr">
        <is>
          <t>GET /api/exotel/sop/history</t>
        </is>
      </c>
      <c r="K52" s="11" t="inlineStr"/>
      <c r="L52" s="12" t="inlineStr">
        <is>
          <t>Not Executed</t>
        </is>
      </c>
      <c r="M52" s="12" t="inlineStr"/>
      <c r="N52" s="12" t="inlineStr"/>
      <c r="O52" s="12" t="inlineStr"/>
      <c r="P52" s="11" t="inlineStr"/>
    </row>
    <row r="53" ht="60" customHeight="1">
      <c r="A53" s="14" t="inlineStr">
        <is>
          <t>CL-052</t>
        </is>
      </c>
      <c r="B53" s="15" t="inlineStr">
        <is>
          <t>History - SOP Documentation</t>
        </is>
      </c>
      <c r="C53" s="15" t="inlineStr">
        <is>
          <t>SOP history pagination Next/Previous</t>
        </is>
      </c>
      <c r="D53" s="17" t="inlineStr">
        <is>
          <t>Medium</t>
        </is>
      </c>
      <c r="E53" s="15" t="inlineStr">
        <is>
          <t>Functional</t>
        </is>
      </c>
      <c r="F53" s="15" t="inlineStr">
        <is>
          <t>Admin on SOP Documentation sub-tab; 12 records.</t>
        </is>
      </c>
      <c r="G53" s="15" t="inlineStr">
        <is>
          <t>1. Click 'Next'.
2. Observe the page change and Network call.
3. Click 'Previous'.</t>
        </is>
      </c>
      <c r="H53" s="15" t="inlineStr">
        <is>
          <t>12 records</t>
        </is>
      </c>
      <c r="I53" s="15" t="inlineStr">
        <is>
          <t>Next sets sopPage=2 -&gt; GET /api/exotel/sop/history?page=2; Previous disabled on page 1; Next disabled when sopPage*per_page &gt;= total.</t>
        </is>
      </c>
      <c r="J53" s="15" t="inlineStr">
        <is>
          <t>GET /api/exotel/sop/history</t>
        </is>
      </c>
      <c r="K53" s="11" t="inlineStr"/>
      <c r="L53" s="12" t="inlineStr">
        <is>
          <t>Not Executed</t>
        </is>
      </c>
      <c r="M53" s="12" t="inlineStr"/>
      <c r="N53" s="12" t="inlineStr"/>
      <c r="O53" s="12" t="inlineStr"/>
      <c r="P53" s="11" t="inlineStr"/>
    </row>
    <row r="54" ht="45" customHeight="1">
      <c r="A54" s="14" t="inlineStr">
        <is>
          <t>CL-053</t>
        </is>
      </c>
      <c r="B54" s="15" t="inlineStr">
        <is>
          <t>History - SOP Documentation</t>
        </is>
      </c>
      <c r="C54" s="15" t="inlineStr">
        <is>
          <t>Empty SOP history shows 'No documentation found'</t>
        </is>
      </c>
      <c r="D54" s="18" t="inlineStr">
        <is>
          <t>Low</t>
        </is>
      </c>
      <c r="E54" s="15" t="inlineStr">
        <is>
          <t>Edge Case</t>
        </is>
      </c>
      <c r="F54" s="15" t="inlineStr">
        <is>
          <t>Admin; date range with no SOP records.</t>
        </is>
      </c>
      <c r="G54" s="15" t="inlineStr">
        <is>
          <t>1. Select a range with no SOP entries and open the SOP Documentation sub-tab.
2. Observe the body.</t>
        </is>
      </c>
      <c r="H54" s="15" t="inlineStr">
        <is>
          <t>Empty range</t>
        </is>
      </c>
      <c r="I54" s="15" t="inlineStr">
        <is>
          <t>Dashed empty card 'No documentation found - Stored SOP forms for the selected period will appear here.' is shown.</t>
        </is>
      </c>
      <c r="J54" s="15" t="inlineStr">
        <is>
          <t>GET /api/exotel/sop/history</t>
        </is>
      </c>
      <c r="K54" s="11" t="inlineStr"/>
      <c r="L54" s="12" t="inlineStr">
        <is>
          <t>Not Executed</t>
        </is>
      </c>
      <c r="M54" s="12" t="inlineStr"/>
      <c r="N54" s="12" t="inlineStr"/>
      <c r="O54" s="12" t="inlineStr"/>
      <c r="P54" s="11" t="inlineStr"/>
    </row>
    <row r="55" ht="60" customHeight="1">
      <c r="A55" s="14" t="inlineStr">
        <is>
          <t>CL-054</t>
        </is>
      </c>
      <c r="B55" s="15" t="inlineStr">
        <is>
          <t>History - SOP Documentation</t>
        </is>
      </c>
      <c r="C55" s="15" t="inlineStr">
        <is>
          <t>View Details opens the SOP modal pre-filled from the record</t>
        </is>
      </c>
      <c r="D55" s="17" t="inlineStr">
        <is>
          <t>Medium</t>
        </is>
      </c>
      <c r="E55" s="15" t="inlineStr">
        <is>
          <t>Functional</t>
        </is>
      </c>
      <c r="F55" s="15" t="inlineStr">
        <is>
          <t>Admin; at least one SOP record listed.</t>
        </is>
      </c>
      <c r="G55" s="15" t="inlineStr">
        <is>
          <t>1. Click 'View Details' on an SOP card.
2. Inspect the modal contents.</t>
        </is>
      </c>
      <c r="H55" s="15" t="inlineStr">
        <is>
          <t>Existing SOP record</t>
        </is>
      </c>
      <c r="I55" s="15" t="inlineStr">
        <is>
          <t>The SOP modal opens populated with the stored record's fields (patientName from sop.patient.full_name and the persisted reason/severity/etc.), allowing review.</t>
        </is>
      </c>
      <c r="J55" s="15" t="inlineStr">
        <is>
          <t>N/A</t>
        </is>
      </c>
      <c r="K55" s="11" t="inlineStr"/>
      <c r="L55" s="12" t="inlineStr">
        <is>
          <t>Not Executed</t>
        </is>
      </c>
      <c r="M55" s="12" t="inlineStr"/>
      <c r="N55" s="12" t="inlineStr"/>
      <c r="O55" s="12" t="inlineStr"/>
      <c r="P55" s="11" t="inlineStr"/>
    </row>
    <row r="56" ht="45" customHeight="1">
      <c r="A56" s="14" t="inlineStr">
        <is>
          <t>CL-055</t>
        </is>
      </c>
      <c r="B56" s="15" t="inlineStr">
        <is>
          <t>History - SOP Documentation</t>
        </is>
      </c>
      <c r="C56" s="15" t="inlineStr">
        <is>
          <t>SOP history fetch error shows destructive toast</t>
        </is>
      </c>
      <c r="D56" s="18" t="inlineStr">
        <is>
          <t>Low</t>
        </is>
      </c>
      <c r="E56" s="15" t="inlineStr">
        <is>
          <t>Negative</t>
        </is>
      </c>
      <c r="F56" s="15" t="inlineStr">
        <is>
          <t>Admin; force GET /api/exotel/sop/history to fail.</t>
        </is>
      </c>
      <c r="G56" s="15" t="inlineStr">
        <is>
          <t>1. Block the sop/history endpoint.
2. Open the SOP Documentation sub-tab.</t>
        </is>
      </c>
      <c r="H56" s="15" t="inlineStr">
        <is>
          <t>N/A</t>
        </is>
      </c>
      <c r="I56" s="15" t="inlineStr">
        <is>
          <t>Destructive toast 'History Sync Failed - Could not retrieve documentation history.' is shown; no crash.</t>
        </is>
      </c>
      <c r="J56" s="15" t="inlineStr">
        <is>
          <t>GET /api/exotel/sop/history</t>
        </is>
      </c>
      <c r="K56" s="11" t="inlineStr"/>
      <c r="L56" s="12" t="inlineStr">
        <is>
          <t>Not Executed</t>
        </is>
      </c>
      <c r="M56" s="12" t="inlineStr"/>
      <c r="N56" s="12" t="inlineStr"/>
      <c r="O56" s="12" t="inlineStr"/>
      <c r="P56" s="11" t="inlineStr"/>
    </row>
    <row r="57" ht="90" customHeight="1">
      <c r="A57" s="8" t="inlineStr">
        <is>
          <t>CL-056</t>
        </is>
      </c>
      <c r="B57" s="9" t="inlineStr">
        <is>
          <t>Escalated</t>
        </is>
      </c>
      <c r="C57" s="9" t="inlineStr">
        <is>
          <t>Escalated tab lists persisted escalations with severity colour bar</t>
        </is>
      </c>
      <c r="D57" s="10" t="inlineStr">
        <is>
          <t>High</t>
        </is>
      </c>
      <c r="E57" s="9" t="inlineStr">
        <is>
          <t>Functional</t>
        </is>
      </c>
      <c r="F57" s="9" t="inlineStr">
        <is>
          <t>Admin; &gt;=1 escalated SOP record seeded.</t>
        </is>
      </c>
      <c r="G57" s="9" t="inlineStr">
        <is>
          <t>1. Click the 'Escalated' tab.
2. Inspect the escalation card(s).</t>
        </is>
      </c>
      <c r="H57" s="9" t="inlineStr">
        <is>
          <t>1 high-severity escalation</t>
        </is>
      </c>
      <c r="I57" s="9" t="inlineStr">
        <is>
          <t>GET /api/exotel/sop is called; each escalation renders patient name, severity badge, staff name/number, patient caller number, relative time, quoted reason and symptoms; the left colour bar is red(high)/amber(medium)/emerald(else).</t>
        </is>
      </c>
      <c r="J57" s="9" t="inlineStr">
        <is>
          <t>GET /api/exotel/sop</t>
        </is>
      </c>
      <c r="K57" s="11" t="inlineStr"/>
      <c r="L57" s="12" t="inlineStr">
        <is>
          <t>Not Executed</t>
        </is>
      </c>
      <c r="M57" s="12" t="inlineStr"/>
      <c r="N57" s="12" t="inlineStr"/>
      <c r="O57" s="12" t="inlineStr"/>
      <c r="P57" s="11" t="inlineStr"/>
    </row>
    <row r="58" ht="45" customHeight="1">
      <c r="A58" s="8" t="inlineStr">
        <is>
          <t>CL-057</t>
        </is>
      </c>
      <c r="B58" s="9" t="inlineStr">
        <is>
          <t>Escalated</t>
        </is>
      </c>
      <c r="C58" s="9" t="inlineStr">
        <is>
          <t>Empty escalations show 'No pending escalations'</t>
        </is>
      </c>
      <c r="D58" s="13" t="inlineStr">
        <is>
          <t>Medium</t>
        </is>
      </c>
      <c r="E58" s="9" t="inlineStr">
        <is>
          <t>Edge Case</t>
        </is>
      </c>
      <c r="F58" s="9" t="inlineStr">
        <is>
          <t>Admin; no escalated records.</t>
        </is>
      </c>
      <c r="G58" s="9" t="inlineStr">
        <is>
          <t>1. Open the Escalated tab with no escalations.
2. Observe the body.</t>
        </is>
      </c>
      <c r="H58" s="9" t="inlineStr">
        <is>
          <t>N/A</t>
        </is>
      </c>
      <c r="I58" s="9" t="inlineStr">
        <is>
          <t>Dashed empty card 'No pending escalations - Calls flagged for Lead review will appear here.' is shown.</t>
        </is>
      </c>
      <c r="J58" s="9" t="inlineStr">
        <is>
          <t>GET /api/exotel/sop</t>
        </is>
      </c>
      <c r="K58" s="11" t="inlineStr"/>
      <c r="L58" s="12" t="inlineStr">
        <is>
          <t>Not Executed</t>
        </is>
      </c>
      <c r="M58" s="12" t="inlineStr"/>
      <c r="N58" s="12" t="inlineStr"/>
      <c r="O58" s="12" t="inlineStr"/>
      <c r="P58" s="11" t="inlineStr"/>
    </row>
    <row r="59" ht="120" customHeight="1">
      <c r="A59" s="8" t="inlineStr">
        <is>
          <t>CL-058</t>
        </is>
      </c>
      <c r="B59" s="9" t="inlineStr">
        <is>
          <t>Escalated</t>
        </is>
      </c>
      <c r="C59" s="9" t="inlineStr">
        <is>
          <t>HomeCare button removes the escalation from the list (client stub)</t>
        </is>
      </c>
      <c r="D59" s="13" t="inlineStr">
        <is>
          <t>Medium</t>
        </is>
      </c>
      <c r="E59" s="9" t="inlineStr">
        <is>
          <t>Functional</t>
        </is>
      </c>
      <c r="F59" s="9" t="inlineStr">
        <is>
          <t>Admin; &gt;=1 escalation listed.</t>
        </is>
      </c>
      <c r="G59" s="9" t="inlineStr">
        <is>
          <t>1. Click the 'HomeCare' button on an escalation card.
2. Observe the toast and the list, and the Network tab.</t>
        </is>
      </c>
      <c r="H59" s="9" t="inlineStr">
        <is>
          <t>N/A</t>
        </is>
      </c>
      <c r="I59" s="9" t="inlineStr">
        <is>
          <t>Success toast 'Escalated to HomeCare - A new visit request has been added to the HomeCare queue.'; the card is removed from the local list. NOTE (defect/limitation): handleEscalateToHomeCare is a client-only stub (TODO) — NO backend API call is made, so the change is not persisted and reappears on refresh. Reference DEF-CL-05.</t>
        </is>
      </c>
      <c r="J59" s="9" t="inlineStr">
        <is>
          <t>N/A (no API call — client stub)</t>
        </is>
      </c>
      <c r="K59" s="11" t="inlineStr"/>
      <c r="L59" s="12" t="inlineStr">
        <is>
          <t>Not Executed</t>
        </is>
      </c>
      <c r="M59" s="12" t="inlineStr"/>
      <c r="N59" s="12" t="inlineStr"/>
      <c r="O59" s="12" t="inlineStr"/>
      <c r="P59" s="11" t="inlineStr"/>
    </row>
    <row r="60" ht="75" customHeight="1">
      <c r="A60" s="8" t="inlineStr">
        <is>
          <t>CL-059</t>
        </is>
      </c>
      <c r="B60" s="9" t="inlineStr">
        <is>
          <t>Escalated</t>
        </is>
      </c>
      <c r="C60" s="9" t="inlineStr">
        <is>
          <t>Follow Up popover schedules the escalation's patient</t>
        </is>
      </c>
      <c r="D60" s="13" t="inlineStr">
        <is>
          <t>Medium</t>
        </is>
      </c>
      <c r="E60" s="9" t="inlineStr">
        <is>
          <t>Functional</t>
        </is>
      </c>
      <c r="F60" s="9" t="inlineStr">
        <is>
          <t>Admin; &gt;=1 escalation with a patient_id.</t>
        </is>
      </c>
      <c r="G60" s="9" t="inlineStr">
        <is>
          <t>1. Click 'Follow Up' on an escalation card.
2. Pick a date in the calendar and click 'Confirm Schedule'.
3. Inspect the Network call and toast.</t>
        </is>
      </c>
      <c r="H60" s="9" t="inlineStr">
        <is>
          <t>Date: 2026-06-12</t>
        </is>
      </c>
      <c r="I60" s="9" t="inlineStr">
        <is>
          <t>POST /api/exotel/scheduler fires with {patient_id, scheduled_date (ISO), notes}; success toast 'Added to Schedule'; the schedule list refreshes (visible on the Scheduler tab).</t>
        </is>
      </c>
      <c r="J60" s="9" t="inlineStr">
        <is>
          <t>POST /api/exotel/scheduler</t>
        </is>
      </c>
      <c r="K60" s="11" t="inlineStr"/>
      <c r="L60" s="12" t="inlineStr">
        <is>
          <t>Not Executed</t>
        </is>
      </c>
      <c r="M60" s="12" t="inlineStr"/>
      <c r="N60" s="12" t="inlineStr"/>
      <c r="O60" s="12" t="inlineStr"/>
      <c r="P60" s="11" t="inlineStr"/>
    </row>
    <row r="61" ht="75" customHeight="1">
      <c r="A61" s="8" t="inlineStr">
        <is>
          <t>CL-060</t>
        </is>
      </c>
      <c r="B61" s="9" t="inlineStr">
        <is>
          <t>Escalated</t>
        </is>
      </c>
      <c r="C61" s="9" t="inlineStr">
        <is>
          <t>Dismiss for now removes an escalation from the view only</t>
        </is>
      </c>
      <c r="D61" s="19" t="inlineStr">
        <is>
          <t>Low</t>
        </is>
      </c>
      <c r="E61" s="9" t="inlineStr">
        <is>
          <t>Edge Case</t>
        </is>
      </c>
      <c r="F61" s="9" t="inlineStr">
        <is>
          <t>Admin; &gt;=1 escalation listed.</t>
        </is>
      </c>
      <c r="G61" s="9" t="inlineStr">
        <is>
          <t>1. Click 'Dismiss for now' on an escalation.
2. Refresh the Escalated tab.</t>
        </is>
      </c>
      <c r="H61" s="9" t="inlineStr">
        <is>
          <t>N/A</t>
        </is>
      </c>
      <c r="I61" s="9" t="inlineStr">
        <is>
          <t>The card disappears from the current view with no API call; after a refresh (re-fetch of GET /api/exotel/sop) the escalation reappears (dismiss is client-only / non-persistent).</t>
        </is>
      </c>
      <c r="J61" s="9" t="inlineStr">
        <is>
          <t>N/A</t>
        </is>
      </c>
      <c r="K61" s="11" t="inlineStr"/>
      <c r="L61" s="12" t="inlineStr">
        <is>
          <t>Not Executed</t>
        </is>
      </c>
      <c r="M61" s="12" t="inlineStr"/>
      <c r="N61" s="12" t="inlineStr"/>
      <c r="O61" s="12" t="inlineStr"/>
      <c r="P61" s="11" t="inlineStr"/>
    </row>
    <row r="62" ht="75" customHeight="1">
      <c r="A62" s="14" t="inlineStr">
        <is>
          <t>CL-061</t>
        </is>
      </c>
      <c r="B62" s="15" t="inlineStr">
        <is>
          <t>Scheduler</t>
        </is>
      </c>
      <c r="C62" s="15" t="inlineStr">
        <is>
          <t>Scheduler tab loads the persistent outreach schedule</t>
        </is>
      </c>
      <c r="D62" s="16" t="inlineStr">
        <is>
          <t>High</t>
        </is>
      </c>
      <c r="E62" s="15" t="inlineStr">
        <is>
          <t>Functional</t>
        </is>
      </c>
      <c r="F62" s="15" t="inlineStr">
        <is>
          <t>Admin; &gt;=1 schedule record exists.</t>
        </is>
      </c>
      <c r="G62" s="15" t="inlineStr">
        <is>
          <t>1. Click the 'Scheduler' tab.
2. Observe the 'Your Outreach Schedule' list and count.</t>
        </is>
      </c>
      <c r="H62" s="15" t="inlineStr">
        <is>
          <t>1 schedule record</t>
        </is>
      </c>
      <c r="I62" s="15" t="inlineStr">
        <is>
          <t>GET /api/exotel/scheduler is called; each record shows patient initial avatar, name, phone and 'Scheduled: &lt;relative date&gt;'; the count line reads 'N patients scheduled for follow-up.'</t>
        </is>
      </c>
      <c r="J62" s="15" t="inlineStr">
        <is>
          <t>GET /api/exotel/scheduler</t>
        </is>
      </c>
      <c r="K62" s="11" t="inlineStr"/>
      <c r="L62" s="12" t="inlineStr">
        <is>
          <t>Not Executed</t>
        </is>
      </c>
      <c r="M62" s="12" t="inlineStr"/>
      <c r="N62" s="12" t="inlineStr"/>
      <c r="O62" s="12" t="inlineStr"/>
      <c r="P62" s="11" t="inlineStr"/>
    </row>
    <row r="63" ht="60" customHeight="1">
      <c r="A63" s="14" t="inlineStr">
        <is>
          <t>CL-062</t>
        </is>
      </c>
      <c r="B63" s="15" t="inlineStr">
        <is>
          <t>Scheduler</t>
        </is>
      </c>
      <c r="C63" s="15" t="inlineStr">
        <is>
          <t>Empty schedule shows 'No calls scheduled'</t>
        </is>
      </c>
      <c r="D63" s="17" t="inlineStr">
        <is>
          <t>Medium</t>
        </is>
      </c>
      <c r="E63" s="15" t="inlineStr">
        <is>
          <t>Edge Case</t>
        </is>
      </c>
      <c r="F63" s="15" t="inlineStr">
        <is>
          <t>Admin; no schedule records.</t>
        </is>
      </c>
      <c r="G63" s="15" t="inlineStr">
        <is>
          <t>1. Open the Scheduler tab with no records.
2. Observe the body.</t>
        </is>
      </c>
      <c r="H63" s="15" t="inlineStr">
        <is>
          <t>N/A</t>
        </is>
      </c>
      <c r="I63" s="15" t="inlineStr">
        <is>
          <t>Dashed empty card 'No calls scheduled - Add patients from the Dial tab to build your outreach plan.' is shown along with the Generate/Add Manually buttons.</t>
        </is>
      </c>
      <c r="J63" s="15" t="inlineStr">
        <is>
          <t>GET /api/exotel/scheduler</t>
        </is>
      </c>
      <c r="K63" s="11" t="inlineStr"/>
      <c r="L63" s="12" t="inlineStr">
        <is>
          <t>Not Executed</t>
        </is>
      </c>
      <c r="M63" s="12" t="inlineStr"/>
      <c r="N63" s="12" t="inlineStr"/>
      <c r="O63" s="12" t="inlineStr"/>
      <c r="P63" s="11" t="inlineStr"/>
    </row>
    <row r="64" ht="90" customHeight="1">
      <c r="A64" s="14" t="inlineStr">
        <is>
          <t>CL-063</t>
        </is>
      </c>
      <c r="B64" s="15" t="inlineStr">
        <is>
          <t>Scheduler</t>
        </is>
      </c>
      <c r="C64" s="15" t="inlineStr">
        <is>
          <t>Add patient to schedule from the Dial tab persists</t>
        </is>
      </c>
      <c r="D64" s="16" t="inlineStr">
        <is>
          <t>High</t>
        </is>
      </c>
      <c r="E64" s="15" t="inlineStr">
        <is>
          <t>Data Integrity</t>
        </is>
      </c>
      <c r="F64" s="15" t="inlineStr">
        <is>
          <t>Admin on Dial tab.</t>
        </is>
      </c>
      <c r="G64" s="15" t="inlineStr">
        <is>
          <t>1. Open a patient's schedule calendar (amber button) and pick a future date, confirm.
2. Switch to the Scheduler tab.
3. Inspect the Network call and the list.</t>
        </is>
      </c>
      <c r="H64" s="15" t="inlineStr">
        <is>
          <t>Patient Ramesh Kumar; Date 2026-06-15</t>
        </is>
      </c>
      <c r="I64" s="15" t="inlineStr">
        <is>
          <t>POST /api/exotel/scheduler fires with {patient_id, scheduled_date (ISO), notes:'Scheduled from Outreach Management'} returning 201; success toast 'Added to Schedule'; the new record appears in the Scheduler list after fetchSchedule.</t>
        </is>
      </c>
      <c r="J64" s="15" t="inlineStr">
        <is>
          <t>POST /api/exotel/scheduler</t>
        </is>
      </c>
      <c r="K64" s="11" t="inlineStr"/>
      <c r="L64" s="12" t="inlineStr">
        <is>
          <t>Not Executed</t>
        </is>
      </c>
      <c r="M64" s="12" t="inlineStr"/>
      <c r="N64" s="12" t="inlineStr"/>
      <c r="O64" s="12" t="inlineStr"/>
      <c r="P64" s="11" t="inlineStr"/>
    </row>
    <row r="65" ht="75" customHeight="1">
      <c r="A65" s="14" t="inlineStr">
        <is>
          <t>CL-064</t>
        </is>
      </c>
      <c r="B65" s="15" t="inlineStr">
        <is>
          <t>Scheduler</t>
        </is>
      </c>
      <c r="C65" s="15" t="inlineStr">
        <is>
          <t>Remove a scheduled record deletes it from the list</t>
        </is>
      </c>
      <c r="D65" s="16" t="inlineStr">
        <is>
          <t>High</t>
        </is>
      </c>
      <c r="E65" s="15" t="inlineStr">
        <is>
          <t>Data Integrity</t>
        </is>
      </c>
      <c r="F65" s="15" t="inlineStr">
        <is>
          <t>Admin on Scheduler tab; &gt;=1 record.</t>
        </is>
      </c>
      <c r="G65" s="15" t="inlineStr">
        <is>
          <t>1. Click the X 'Remove from Schedule' on a record.
2. Observe the toast, the list, and the Network call.</t>
        </is>
      </c>
      <c r="H65" s="15" t="inlineStr">
        <is>
          <t>schedule_id (uuid) of the record</t>
        </is>
      </c>
      <c r="I65" s="15" t="inlineStr">
        <is>
          <t>DELETE /api/exotel/scheduler/&lt;uuid&gt; returns 200; success toast 'Removed - Record removed from schedule.'; the record is removed from the list and stays removed after refresh.</t>
        </is>
      </c>
      <c r="J65" s="15" t="inlineStr">
        <is>
          <t>DELETE /api/exotel/scheduler/{schedule_id}</t>
        </is>
      </c>
      <c r="K65" s="11" t="inlineStr"/>
      <c r="L65" s="12" t="inlineStr">
        <is>
          <t>Not Executed</t>
        </is>
      </c>
      <c r="M65" s="12" t="inlineStr"/>
      <c r="N65" s="12" t="inlineStr"/>
      <c r="O65" s="12" t="inlineStr"/>
      <c r="P65" s="11" t="inlineStr"/>
    </row>
    <row r="66" ht="45" customHeight="1">
      <c r="A66" s="14" t="inlineStr">
        <is>
          <t>CL-065</t>
        </is>
      </c>
      <c r="B66" s="15" t="inlineStr">
        <is>
          <t>Scheduler</t>
        </is>
      </c>
      <c r="C66" s="15" t="inlineStr">
        <is>
          <t>Remove schedule failure shows destructive toast</t>
        </is>
      </c>
      <c r="D66" s="17" t="inlineStr">
        <is>
          <t>Medium</t>
        </is>
      </c>
      <c r="E66" s="15" t="inlineStr">
        <is>
          <t>Negative</t>
        </is>
      </c>
      <c r="F66" s="15" t="inlineStr">
        <is>
          <t>Admin; force DELETE /api/exotel/scheduler to fail.</t>
        </is>
      </c>
      <c r="G66" s="15" t="inlineStr">
        <is>
          <t>1. Block / fail the delete endpoint.
2. Click X on a schedule record.</t>
        </is>
      </c>
      <c r="H66" s="15" t="inlineStr">
        <is>
          <t>N/A</t>
        </is>
      </c>
      <c r="I66" s="15" t="inlineStr">
        <is>
          <t>Destructive toast 'Action Failed - Could not remove from schedule.'; the record remains in the list.</t>
        </is>
      </c>
      <c r="J66" s="15" t="inlineStr">
        <is>
          <t>DELETE /api/exotel/scheduler/{schedule_id}</t>
        </is>
      </c>
      <c r="K66" s="11" t="inlineStr"/>
      <c r="L66" s="12" t="inlineStr">
        <is>
          <t>Not Executed</t>
        </is>
      </c>
      <c r="M66" s="12" t="inlineStr"/>
      <c r="N66" s="12" t="inlineStr"/>
      <c r="O66" s="12" t="inlineStr"/>
      <c r="P66" s="11" t="inlineStr"/>
    </row>
    <row r="67" ht="75" customHeight="1">
      <c r="A67" s="14" t="inlineStr">
        <is>
          <t>CL-066</t>
        </is>
      </c>
      <c r="B67" s="15" t="inlineStr">
        <is>
          <t>Scheduler</t>
        </is>
      </c>
      <c r="C67" s="15" t="inlineStr">
        <is>
          <t>Generate Weekly Plan auto-generates the schedule</t>
        </is>
      </c>
      <c r="D67" s="17" t="inlineStr">
        <is>
          <t>Medium</t>
        </is>
      </c>
      <c r="E67" s="15" t="inlineStr">
        <is>
          <t>Functional</t>
        </is>
      </c>
      <c r="F67" s="15" t="inlineStr">
        <is>
          <t>Admin on Scheduler tab.</t>
        </is>
      </c>
      <c r="G67" s="15" t="inlineStr">
        <is>
          <t>1. Click 'Generate Weekly Plan'.
2. Observe the spinner, toast and refreshed list.</t>
        </is>
      </c>
      <c r="H67" s="15" t="inlineStr">
        <is>
          <t>N/A</t>
        </is>
      </c>
      <c r="I67" s="15" t="inlineStr">
        <is>
          <t>POST /api/exotel/scheduler/auto-generate returns 201; success toast 'Plan Generated - Automatic outreach plan for next week has been created.'; fetchSchedule re-runs and the list updates.</t>
        </is>
      </c>
      <c r="J67" s="15" t="inlineStr">
        <is>
          <t>POST /api/exotel/scheduler/auto-generate</t>
        </is>
      </c>
      <c r="K67" s="11" t="inlineStr"/>
      <c r="L67" s="12" t="inlineStr">
        <is>
          <t>Not Executed</t>
        </is>
      </c>
      <c r="M67" s="12" t="inlineStr"/>
      <c r="N67" s="12" t="inlineStr"/>
      <c r="O67" s="12" t="inlineStr"/>
      <c r="P67" s="11" t="inlineStr"/>
    </row>
    <row r="68" ht="45" customHeight="1">
      <c r="A68" s="14" t="inlineStr">
        <is>
          <t>CL-067</t>
        </is>
      </c>
      <c r="B68" s="15" t="inlineStr">
        <is>
          <t>Scheduler</t>
        </is>
      </c>
      <c r="C68" s="15" t="inlineStr">
        <is>
          <t>Auto-generate failure shows destructive toast</t>
        </is>
      </c>
      <c r="D68" s="18" t="inlineStr">
        <is>
          <t>Low</t>
        </is>
      </c>
      <c r="E68" s="15" t="inlineStr">
        <is>
          <t>Negative</t>
        </is>
      </c>
      <c r="F68" s="15" t="inlineStr">
        <is>
          <t>Admin; force auto-generate to fail.</t>
        </is>
      </c>
      <c r="G68" s="15" t="inlineStr">
        <is>
          <t>1. Block / fail the auto-generate endpoint.
2. Click 'Generate Weekly Plan'.</t>
        </is>
      </c>
      <c r="H68" s="15" t="inlineStr">
        <is>
          <t>N/A</t>
        </is>
      </c>
      <c r="I68" s="15" t="inlineStr">
        <is>
          <t>Destructive toast 'Generation Failed - Could not automatically generate the schedule.'; spinner stops.</t>
        </is>
      </c>
      <c r="J68" s="15" t="inlineStr">
        <is>
          <t>POST /api/exotel/scheduler/auto-generate</t>
        </is>
      </c>
      <c r="K68" s="11" t="inlineStr"/>
      <c r="L68" s="12" t="inlineStr">
        <is>
          <t>Not Executed</t>
        </is>
      </c>
      <c r="M68" s="12" t="inlineStr"/>
      <c r="N68" s="12" t="inlineStr"/>
      <c r="O68" s="12" t="inlineStr"/>
      <c r="P68" s="11" t="inlineStr"/>
    </row>
    <row r="69" ht="60" customHeight="1">
      <c r="A69" s="14" t="inlineStr">
        <is>
          <t>CL-068</t>
        </is>
      </c>
      <c r="B69" s="15" t="inlineStr">
        <is>
          <t>Scheduler</t>
        </is>
      </c>
      <c r="C69" s="15" t="inlineStr">
        <is>
          <t>'Add Manually' switches to the Dial tab; manual SOP from a schedule row opens the modal</t>
        </is>
      </c>
      <c r="D69" s="18" t="inlineStr">
        <is>
          <t>Low</t>
        </is>
      </c>
      <c r="E69" s="15" t="inlineStr">
        <is>
          <t>Functional</t>
        </is>
      </c>
      <c r="F69" s="15" t="inlineStr">
        <is>
          <t>Admin on Scheduler tab; &gt;=1 record.</t>
        </is>
      </c>
      <c r="G69" s="15" t="inlineStr">
        <is>
          <t>1. Click 'Add Manually' and confirm the tab switch.
2. Return to Scheduler and click the clipboard (Manual Documentation) icon on a record.</t>
        </is>
      </c>
      <c r="H69" s="15" t="inlineStr">
        <is>
          <t>N/A</t>
        </is>
      </c>
      <c r="I69" s="15" t="inlineStr">
        <is>
          <t>'Add Manually' sets the active tab to Dial. The clipboard icon on a schedule record opens the SOP modal pre-filled with that record's patient.</t>
        </is>
      </c>
      <c r="J69" s="15" t="inlineStr">
        <is>
          <t>N/A</t>
        </is>
      </c>
      <c r="K69" s="11" t="inlineStr"/>
      <c r="L69" s="12" t="inlineStr">
        <is>
          <t>Not Executed</t>
        </is>
      </c>
      <c r="M69" s="12" t="inlineStr"/>
      <c r="N69" s="12" t="inlineStr"/>
      <c r="O69" s="12" t="inlineStr"/>
      <c r="P69" s="11" t="inlineStr"/>
    </row>
    <row r="70" ht="45" customHeight="1">
      <c r="A70" s="14" t="inlineStr">
        <is>
          <t>CL-069</t>
        </is>
      </c>
      <c r="B70" s="15" t="inlineStr">
        <is>
          <t>Scheduler</t>
        </is>
      </c>
      <c r="C70" s="15" t="inlineStr">
        <is>
          <t>Backend rejects schedule add missing patient_id or scheduled_date (400)</t>
        </is>
      </c>
      <c r="D70" s="17" t="inlineStr">
        <is>
          <t>Medium</t>
        </is>
      </c>
      <c r="E70" s="15" t="inlineStr">
        <is>
          <t>API</t>
        </is>
      </c>
      <c r="F70" s="15" t="inlineStr">
        <is>
          <t>Tooling to POST directly with a valid JWT.</t>
        </is>
      </c>
      <c r="G70" s="15" t="inlineStr">
        <is>
          <t>1. POST /api/exotel/scheduler with body {notes:'x'} (no patient_id/scheduled_date).
2. Inspect the response.</t>
        </is>
      </c>
      <c r="H70" s="15" t="inlineStr">
        <is>
          <t>Body: {"notes":"x"}</t>
        </is>
      </c>
      <c r="I70" s="15" t="inlineStr">
        <is>
          <t>Backend returns 400 {"error":"patient_id and scheduled_date are required"}.</t>
        </is>
      </c>
      <c r="J70" s="15" t="inlineStr">
        <is>
          <t>POST /api/exotel/scheduler</t>
        </is>
      </c>
      <c r="K70" s="11" t="inlineStr"/>
      <c r="L70" s="12" t="inlineStr">
        <is>
          <t>Not Executed</t>
        </is>
      </c>
      <c r="M70" s="12" t="inlineStr"/>
      <c r="N70" s="12" t="inlineStr"/>
      <c r="O70" s="12" t="inlineStr"/>
      <c r="P70" s="11" t="inlineStr"/>
    </row>
    <row r="71" ht="75" customHeight="1">
      <c r="A71" s="14" t="inlineStr">
        <is>
          <t>CL-070</t>
        </is>
      </c>
      <c r="B71" s="15" t="inlineStr">
        <is>
          <t>Scheduler</t>
        </is>
      </c>
      <c r="C71" s="15" t="inlineStr">
        <is>
          <t>Delete with a non-existent / non-UUID schedule id</t>
        </is>
      </c>
      <c r="D71" s="18" t="inlineStr">
        <is>
          <t>Low</t>
        </is>
      </c>
      <c r="E71" s="15" t="inlineStr">
        <is>
          <t>Negative</t>
        </is>
      </c>
      <c r="F71" s="15" t="inlineStr">
        <is>
          <t>Tooling to DELETE directly with a valid JWT.</t>
        </is>
      </c>
      <c r="G71" s="15" t="inlineStr">
        <is>
          <t>1. DELETE /api/exotel/scheduler/00000000-0000-0000-0000-000000000000 (valid uuid, no record).
2. Then DELETE /api/exotel/scheduler/not-a-uuid.
3. Inspect both responses.</t>
        </is>
      </c>
      <c r="H71" s="15" t="inlineStr">
        <is>
          <t>Valid-but-absent uuid; then 'not-a-uuid'</t>
        </is>
      </c>
      <c r="I71" s="15" t="inlineStr">
        <is>
          <t>Absent uuid -&gt; 404 {"error":"Schedule not found"} (or 200 no-op depending on service). Non-uuid path does not match the &lt;uuid:...&gt; route converter and returns a 404 routing error.</t>
        </is>
      </c>
      <c r="J71" s="15" t="inlineStr">
        <is>
          <t>DELETE /api/exotel/scheduler/{schedule_id}</t>
        </is>
      </c>
      <c r="K71" s="11" t="inlineStr"/>
      <c r="L71" s="12" t="inlineStr">
        <is>
          <t>Not Executed</t>
        </is>
      </c>
      <c r="M71" s="12" t="inlineStr"/>
      <c r="N71" s="12" t="inlineStr"/>
      <c r="O71" s="12" t="inlineStr"/>
      <c r="P71" s="11" t="inlineStr"/>
    </row>
    <row r="72" ht="105" customHeight="1">
      <c r="A72" s="8" t="inlineStr">
        <is>
          <t>CL-071</t>
        </is>
      </c>
      <c r="B72" s="9" t="inlineStr">
        <is>
          <t>Email Modal</t>
        </is>
      </c>
      <c r="C72" s="9" t="inlineStr">
        <is>
          <t>EmailModal composes a pre-filled follow-up email (component-level)</t>
        </is>
      </c>
      <c r="D72" s="13" t="inlineStr">
        <is>
          <t>Medium</t>
        </is>
      </c>
      <c r="E72" s="9" t="inlineStr">
        <is>
          <t>UI/UX</t>
        </is>
      </c>
      <c r="F72" s="9" t="inlineStr">
        <is>
          <t>EmailModal mounted with a patient (NOTE: not currently wired into CallLogsPage — see DEF-CL-02; test via a mount harness/storybook or after wiring).</t>
        </is>
      </c>
      <c r="G72" s="9" t="inlineStr">
        <is>
          <t>1. Open the Email modal for a patient.
2. Inspect the Subject and Message Body defaults.</t>
        </is>
      </c>
      <c r="H72" s="9" t="inlineStr">
        <is>
          <t>Patient Lakshmi Iyer</t>
        </is>
      </c>
      <c r="I72" s="9" t="inlineStr">
        <is>
          <t>Title 'Send Email'; Subject defaults to 'Follow-up: Outreach from Saranam'; Body is pre-filled greeting the patient by full_name; both fields editable.</t>
        </is>
      </c>
      <c r="J72" s="9" t="inlineStr">
        <is>
          <t>N/A</t>
        </is>
      </c>
      <c r="K72" s="11" t="inlineStr"/>
      <c r="L72" s="12" t="inlineStr">
        <is>
          <t>Not Executed</t>
        </is>
      </c>
      <c r="M72" s="12" t="inlineStr"/>
      <c r="N72" s="12" t="inlineStr"/>
      <c r="O72" s="12" t="inlineStr"/>
      <c r="P72" s="11" t="inlineStr"/>
    </row>
    <row r="73" ht="90" customHeight="1">
      <c r="A73" s="8" t="inlineStr">
        <is>
          <t>CL-072</t>
        </is>
      </c>
      <c r="B73" s="9" t="inlineStr">
        <is>
          <t>Email Modal</t>
        </is>
      </c>
      <c r="C73" s="9" t="inlineStr">
        <is>
          <t>Send Email is disabled when subject or body is empty</t>
        </is>
      </c>
      <c r="D73" s="13" t="inlineStr">
        <is>
          <t>Medium</t>
        </is>
      </c>
      <c r="E73" s="9" t="inlineStr">
        <is>
          <t>Validation</t>
        </is>
      </c>
      <c r="F73" s="9" t="inlineStr">
        <is>
          <t>EmailModal open (per CL-071 caveat).</t>
        </is>
      </c>
      <c r="G73" s="9" t="inlineStr">
        <is>
          <t>1. Clear the Subject field entirely and observe the Send button.
2. Restore Subject, clear the Body, observe again.
3. Enter whitespace-only into Subject and observe.</t>
        </is>
      </c>
      <c r="H73" s="9" t="inlineStr">
        <is>
          <t>Empty / whitespace-only subject and body</t>
        </is>
      </c>
      <c r="I73" s="9" t="inlineStr">
        <is>
          <t>'Send Email' is disabled while !subject.trim() or !body.trim() (whitespace-only also disables it). Re-enabled once both contain non-whitespace text.</t>
        </is>
      </c>
      <c r="J73" s="9" t="inlineStr">
        <is>
          <t>N/A</t>
        </is>
      </c>
      <c r="K73" s="11" t="inlineStr"/>
      <c r="L73" s="12" t="inlineStr">
        <is>
          <t>Not Executed</t>
        </is>
      </c>
      <c r="M73" s="12" t="inlineStr"/>
      <c r="N73" s="12" t="inlineStr"/>
      <c r="O73" s="12" t="inlineStr"/>
      <c r="P73" s="11" t="inlineStr"/>
    </row>
    <row r="74" ht="75" customHeight="1">
      <c r="A74" s="8" t="inlineStr">
        <is>
          <t>CL-073</t>
        </is>
      </c>
      <c r="B74" s="9" t="inlineStr">
        <is>
          <t>Email Modal</t>
        </is>
      </c>
      <c r="C74" s="9" t="inlineStr">
        <is>
          <t>Send Email posts to backend and closes on success</t>
        </is>
      </c>
      <c r="D74" s="13" t="inlineStr">
        <is>
          <t>Medium</t>
        </is>
      </c>
      <c r="E74" s="9" t="inlineStr">
        <is>
          <t>Functional</t>
        </is>
      </c>
      <c r="F74" s="9" t="inlineStr">
        <is>
          <t>EmailModal open (per CL-071); patient has an email on file; onSend wired to callLogsApi.sendEmail.</t>
        </is>
      </c>
      <c r="G74" s="9" t="inlineStr">
        <is>
          <t>1. Edit subject/body and click 'Send Email'.
2. Inspect the Network call and modal behaviour.</t>
        </is>
      </c>
      <c r="H74" s="9" t="inlineStr">
        <is>
          <t>Subject: Follow-up; Body: short message</t>
        </is>
      </c>
      <c r="I74" s="9" t="inlineStr">
        <is>
          <t>POST /api/exotel/send-email fires with {patient_id, subject, body}; on 200 {message:'Email sent successfully'} the modal closes (onClose). During send the button shows 'Sending...' and Cancel/Send are disabled.</t>
        </is>
      </c>
      <c r="J74" s="9" t="inlineStr">
        <is>
          <t>POST /api/exotel/send-email</t>
        </is>
      </c>
      <c r="K74" s="11" t="inlineStr"/>
      <c r="L74" s="12" t="inlineStr">
        <is>
          <t>Not Executed</t>
        </is>
      </c>
      <c r="M74" s="12" t="inlineStr"/>
      <c r="N74" s="12" t="inlineStr"/>
      <c r="O74" s="12" t="inlineStr"/>
      <c r="P74" s="11" t="inlineStr"/>
    </row>
    <row r="75" ht="90" customHeight="1">
      <c r="A75" s="8" t="inlineStr">
        <is>
          <t>CL-074</t>
        </is>
      </c>
      <c r="B75" s="9" t="inlineStr">
        <is>
          <t>Email Modal</t>
        </is>
      </c>
      <c r="C75" s="9" t="inlineStr">
        <is>
          <t>Send Email to a patient with no email on file returns 400</t>
        </is>
      </c>
      <c r="D75" s="13" t="inlineStr">
        <is>
          <t>Medium</t>
        </is>
      </c>
      <c r="E75" s="9" t="inlineStr">
        <is>
          <t>Negative</t>
        </is>
      </c>
      <c r="F75" s="9" t="inlineStr">
        <is>
          <t>EmailModal open for a patient with NO email; onSend wired.</t>
        </is>
      </c>
      <c r="G75" s="9" t="inlineStr">
        <is>
          <t>1. Click 'Send Email'.
2. Inspect the Network response and console.</t>
        </is>
      </c>
      <c r="H75" s="9" t="inlineStr">
        <is>
          <t>Patient with no email on file</t>
        </is>
      </c>
      <c r="I75" s="9" t="inlineStr">
        <is>
          <t>POST /api/exotel/send-email returns 400 {"error":"Patient has no email address on file"} (or 404 if patient not found). The component logs 'Failed to send email' and the modal stays open (does not close on error).</t>
        </is>
      </c>
      <c r="J75" s="9" t="inlineStr">
        <is>
          <t>POST /api/exotel/send-email</t>
        </is>
      </c>
      <c r="K75" s="11" t="inlineStr"/>
      <c r="L75" s="12" t="inlineStr">
        <is>
          <t>Not Executed</t>
        </is>
      </c>
      <c r="M75" s="12" t="inlineStr"/>
      <c r="N75" s="12" t="inlineStr"/>
      <c r="O75" s="12" t="inlineStr"/>
      <c r="P75" s="11" t="inlineStr"/>
    </row>
    <row r="76" ht="60" customHeight="1">
      <c r="A76" s="8" t="inlineStr">
        <is>
          <t>CL-075</t>
        </is>
      </c>
      <c r="B76" s="9" t="inlineStr">
        <is>
          <t>Email Modal</t>
        </is>
      </c>
      <c r="C76" s="9" t="inlineStr">
        <is>
          <t>Send Email when SMTP is not configured returns 500</t>
        </is>
      </c>
      <c r="D76" s="19" t="inlineStr">
        <is>
          <t>Low</t>
        </is>
      </c>
      <c r="E76" s="9" t="inlineStr">
        <is>
          <t>Negative</t>
        </is>
      </c>
      <c r="F76" s="9" t="inlineStr">
        <is>
          <t>Backend SMTP settings absent; EmailModal open for a patient WITH an email.</t>
        </is>
      </c>
      <c r="G76" s="9" t="inlineStr">
        <is>
          <t>1. Click 'Send Email'.
2. Inspect the Network response.</t>
        </is>
      </c>
      <c r="H76" s="9" t="inlineStr">
        <is>
          <t>Patient with valid email; SMTP unset</t>
        </is>
      </c>
      <c r="I76" s="9" t="inlineStr">
        <is>
          <t>POST /api/exotel/send-email returns 500 {"error":"SMTP settings not configured"}; modal stays open; the send button re-enables (loading reset).</t>
        </is>
      </c>
      <c r="J76" s="9" t="inlineStr">
        <is>
          <t>POST /api/exotel/send-email</t>
        </is>
      </c>
      <c r="K76" s="11" t="inlineStr"/>
      <c r="L76" s="12" t="inlineStr">
        <is>
          <t>Not Executed</t>
        </is>
      </c>
      <c r="M76" s="12" t="inlineStr"/>
      <c r="N76" s="12" t="inlineStr"/>
      <c r="O76" s="12" t="inlineStr"/>
      <c r="P76" s="11" t="inlineStr"/>
    </row>
    <row r="77" ht="60" customHeight="1">
      <c r="A77" s="8" t="inlineStr">
        <is>
          <t>CL-076</t>
        </is>
      </c>
      <c r="B77" s="9" t="inlineStr">
        <is>
          <t>Email Modal</t>
        </is>
      </c>
      <c r="C77" s="9" t="inlineStr">
        <is>
          <t>Cancel closes the Email modal without sending</t>
        </is>
      </c>
      <c r="D77" s="19" t="inlineStr">
        <is>
          <t>Low</t>
        </is>
      </c>
      <c r="E77" s="9" t="inlineStr">
        <is>
          <t>Functional</t>
        </is>
      </c>
      <c r="F77" s="9" t="inlineStr">
        <is>
          <t>EmailModal open with edits.</t>
        </is>
      </c>
      <c r="G77" s="9" t="inlineStr">
        <is>
          <t>1. Edit the body, then click 'Cancel' (and separately press Esc / click outside).
2. Confirm no send occurred.</t>
        </is>
      </c>
      <c r="H77" s="9" t="inlineStr">
        <is>
          <t>N/A</t>
        </is>
      </c>
      <c r="I77" s="9" t="inlineStr">
        <is>
          <t>The modal closes via onClose; no POST /api/exotel/send-email is sent; reopening resets the subject/body to defaults (via the open/patient effect).</t>
        </is>
      </c>
      <c r="J77" s="9" t="inlineStr">
        <is>
          <t>N/A</t>
        </is>
      </c>
      <c r="K77" s="11" t="inlineStr"/>
      <c r="L77" s="12" t="inlineStr">
        <is>
          <t>Not Executed</t>
        </is>
      </c>
      <c r="M77" s="12" t="inlineStr"/>
      <c r="N77" s="12" t="inlineStr"/>
      <c r="O77" s="12" t="inlineStr"/>
      <c r="P77" s="11" t="inlineStr"/>
    </row>
    <row r="78" ht="105" customHeight="1">
      <c r="A78" s="8" t="inlineStr">
        <is>
          <t>CL-077</t>
        </is>
      </c>
      <c r="B78" s="9" t="inlineStr">
        <is>
          <t>Email Modal</t>
        </is>
      </c>
      <c r="C78" s="9" t="inlineStr">
        <is>
          <t>EmailModal hook-order crash when patient toggles null/non-null (KNOWN DEFECT)</t>
        </is>
      </c>
      <c r="D78" s="10" t="inlineStr">
        <is>
          <t>High</t>
        </is>
      </c>
      <c r="E78" s="9" t="inlineStr">
        <is>
          <t>Edge Case</t>
        </is>
      </c>
      <c r="F78" s="9" t="inlineStr">
        <is>
          <t>EmailModal mounted; ability to pass patient as null then non-null (or vice versa).</t>
        </is>
      </c>
      <c r="G78" s="9" t="inlineStr">
        <is>
          <t>1. Render EmailModal with patient=null (early return null fires before the useEffect hook).
2. Then re-render with a non-null patient so the useEffect now runs.
3. Watch the React console / error overlay.</t>
        </is>
      </c>
      <c r="H78" s="9" t="inlineStr">
        <is>
          <t>N/A</t>
        </is>
      </c>
      <c r="I78" s="9" t="inlineStr">
        <is>
          <t>EXPECTED: clean render. ACTUAL (defect): `if (!patient) return null;` sits BEFORE the useEffect, violating the Rules of Hooks; React throws 'Rendered more hooks than during the previous render' when patient transitions from null to a value. Log as FAIL and reference DEF-CL-03.</t>
        </is>
      </c>
      <c r="J78" s="9" t="inlineStr">
        <is>
          <t>N/A</t>
        </is>
      </c>
      <c r="K78" s="11" t="inlineStr"/>
      <c r="L78" s="12" t="inlineStr">
        <is>
          <t>Not Executed</t>
        </is>
      </c>
      <c r="M78" s="12" t="inlineStr"/>
      <c r="N78" s="12" t="inlineStr"/>
      <c r="O78" s="12" t="inlineStr"/>
      <c r="P78" s="11" t="inlineStr"/>
    </row>
    <row r="79" ht="75" customHeight="1">
      <c r="A79" s="14" t="inlineStr">
        <is>
          <t>CL-078</t>
        </is>
      </c>
      <c r="B79" s="15" t="inlineStr">
        <is>
          <t>API &amp; Security</t>
        </is>
      </c>
      <c r="C79" s="15" t="inlineStr">
        <is>
          <t>Guarded endpoints reject requests without a JWT (401)</t>
        </is>
      </c>
      <c r="D79" s="16" t="inlineStr">
        <is>
          <t>High</t>
        </is>
      </c>
      <c r="E79" s="15" t="inlineStr">
        <is>
          <t>API</t>
        </is>
      </c>
      <c r="F79" s="15" t="inlineStr">
        <is>
          <t>Tooling to call the backend with no Authorization header.</t>
        </is>
      </c>
      <c r="G79" s="15" t="inlineStr">
        <is>
          <t>1. Call GET /api/exotel/agents, GET /api/exotel/sop, GET /api/exotel/sop/history, GET /api/exotel/scheduler, POST /api/exotel/send-email each WITHOUT a Bearer token.
2. Inspect each response.</t>
        </is>
      </c>
      <c r="H79" s="15" t="inlineStr">
        <is>
          <t>No Authorization header</t>
        </is>
      </c>
      <c r="I79" s="15" t="inlineStr">
        <is>
          <t>Each returns 401 Unauthorized (JWT required). In the browser this triggers the client refresh-then-redirect flow.</t>
        </is>
      </c>
      <c r="J79" s="15" t="inlineStr">
        <is>
          <t>GET /api/exotel/agents (+ other @jwt_required endpoints)</t>
        </is>
      </c>
      <c r="K79" s="11" t="inlineStr"/>
      <c r="L79" s="12" t="inlineStr">
        <is>
          <t>Not Executed</t>
        </is>
      </c>
      <c r="M79" s="12" t="inlineStr"/>
      <c r="N79" s="12" t="inlineStr"/>
      <c r="O79" s="12" t="inlineStr"/>
      <c r="P79" s="11" t="inlineStr"/>
    </row>
    <row r="80" ht="120" customHeight="1">
      <c r="A80" s="14" t="inlineStr">
        <is>
          <t>CL-079</t>
        </is>
      </c>
      <c r="B80" s="15" t="inlineStr">
        <is>
          <t>API &amp; Security</t>
        </is>
      </c>
      <c r="C80" s="15" t="inlineStr">
        <is>
          <t>Telephony endpoints are publicly reachable without JWT (KNOWN DEFECT)</t>
        </is>
      </c>
      <c r="D80" s="16" t="inlineStr">
        <is>
          <t>High</t>
        </is>
      </c>
      <c r="E80" s="15" t="inlineStr">
        <is>
          <t>API</t>
        </is>
      </c>
      <c r="F80" s="15" t="inlineStr">
        <is>
          <t>Tooling to call the backend with no Authorization header.</t>
        </is>
      </c>
      <c r="G80" s="15" t="inlineStr">
        <is>
          <t>1. Call GET /api/exotel/calls with no token.
2. Call POST /api/exotel/make-call with {from,to} and no token.
3. Call GET /api/exotel/call-status/&lt;sid&gt; with no token.
4. Inspect responses.</t>
        </is>
      </c>
      <c r="H80" s="15" t="inlineStr">
        <is>
          <t>No Authorization header</t>
        </is>
      </c>
      <c r="I80" s="15" t="inlineStr">
        <is>
          <t>EXPECTED: these should require admin auth like the rest of the module. ACTUAL (defect): /api/exotel/calls, /make-call and /call-status/&lt;sid&gt; have NO @jwt_required guard and respond without authentication (an unauthenticated party could read call logs or place Exotel calls). Log as FAIL and reference DEF-CL-04.</t>
        </is>
      </c>
      <c r="J80" s="15" t="inlineStr">
        <is>
          <t>GET /api/exotel/calls ; POST /api/exotel/make-call ; GET /api/exotel/call-status/{sid}</t>
        </is>
      </c>
      <c r="K80" s="11" t="inlineStr"/>
      <c r="L80" s="12" t="inlineStr">
        <is>
          <t>Not Executed</t>
        </is>
      </c>
      <c r="M80" s="12" t="inlineStr"/>
      <c r="N80" s="12" t="inlineStr"/>
      <c r="O80" s="12" t="inlineStr"/>
      <c r="P80" s="11" t="inlineStr"/>
    </row>
    <row r="81" ht="45" customHeight="1">
      <c r="A81" s="14" t="inlineStr">
        <is>
          <t>CL-080</t>
        </is>
      </c>
      <c r="B81" s="15" t="inlineStr">
        <is>
          <t>API &amp; Security</t>
        </is>
      </c>
      <c r="C81" s="15" t="inlineStr">
        <is>
          <t>agent-status PUT validates required body fields (400)</t>
        </is>
      </c>
      <c r="D81" s="17" t="inlineStr">
        <is>
          <t>Medium</t>
        </is>
      </c>
      <c r="E81" s="15" t="inlineStr">
        <is>
          <t>API</t>
        </is>
      </c>
      <c r="F81" s="15" t="inlineStr">
        <is>
          <t>Tooling to PUT with a valid JWT.</t>
        </is>
      </c>
      <c r="G81" s="15" t="inlineStr">
        <is>
          <t>1. PUT /api/exotel/agent-status with body {} (no provider_id/is_on_duty).
2. Inspect the response.</t>
        </is>
      </c>
      <c r="H81" s="15" t="inlineStr">
        <is>
          <t>Body: {}</t>
        </is>
      </c>
      <c r="I81" s="15" t="inlineStr">
        <is>
          <t>Backend returns 400 {"error":"Missing provider_id or is_on_duty"}.</t>
        </is>
      </c>
      <c r="J81" s="15" t="inlineStr">
        <is>
          <t>PUT /api/exotel/agent-status</t>
        </is>
      </c>
      <c r="K81" s="11" t="inlineStr"/>
      <c r="L81" s="12" t="inlineStr">
        <is>
          <t>Not Executed</t>
        </is>
      </c>
      <c r="M81" s="12" t="inlineStr"/>
      <c r="N81" s="12" t="inlineStr"/>
      <c r="O81" s="12" t="inlineStr"/>
      <c r="P81" s="11" t="inlineStr"/>
    </row>
    <row r="82" ht="45" customHeight="1">
      <c r="A82" s="14" t="inlineStr">
        <is>
          <t>CL-081</t>
        </is>
      </c>
      <c r="B82" s="15" t="inlineStr">
        <is>
          <t>API &amp; Security</t>
        </is>
      </c>
      <c r="C82" s="15" t="inlineStr">
        <is>
          <t>send-email validates required body fields (400)</t>
        </is>
      </c>
      <c r="D82" s="17" t="inlineStr">
        <is>
          <t>Medium</t>
        </is>
      </c>
      <c r="E82" s="15" t="inlineStr">
        <is>
          <t>API</t>
        </is>
      </c>
      <c r="F82" s="15" t="inlineStr">
        <is>
          <t>Tooling to POST with a valid JWT.</t>
        </is>
      </c>
      <c r="G82" s="15" t="inlineStr">
        <is>
          <t>1. POST /api/exotel/send-email with body {patient_id:'x'} (no subject/body).
2. Inspect the response.</t>
        </is>
      </c>
      <c r="H82" s="15" t="inlineStr">
        <is>
          <t>Body: {"patient_id":"x"}</t>
        </is>
      </c>
      <c r="I82" s="15" t="inlineStr">
        <is>
          <t>Backend returns 400 {"error":"patient_id, subject, and body are required"}.</t>
        </is>
      </c>
      <c r="J82" s="15" t="inlineStr">
        <is>
          <t>POST /api/exotel/send-email</t>
        </is>
      </c>
      <c r="K82" s="11" t="inlineStr"/>
      <c r="L82" s="12" t="inlineStr">
        <is>
          <t>Not Executed</t>
        </is>
      </c>
      <c r="M82" s="12" t="inlineStr"/>
      <c r="N82" s="12" t="inlineStr"/>
      <c r="O82" s="12" t="inlineStr"/>
      <c r="P82" s="11" t="inlineStr"/>
    </row>
    <row r="83" ht="90" customHeight="1">
      <c r="A83" s="8" t="inlineStr">
        <is>
          <t>CL-082</t>
        </is>
      </c>
      <c r="B83" s="9" t="inlineStr">
        <is>
          <t>Data Integrity</t>
        </is>
      </c>
      <c r="C83" s="9" t="inlineStr">
        <is>
          <t>A saved SOP appears in SOP history and the patient record</t>
        </is>
      </c>
      <c r="D83" s="10" t="inlineStr">
        <is>
          <t>High</t>
        </is>
      </c>
      <c r="E83" s="9" t="inlineStr">
        <is>
          <t>Data Integrity</t>
        </is>
      </c>
      <c r="F83" s="9" t="inlineStr">
        <is>
          <t>Admin; SOP saved for a known patient (CL-038).</t>
        </is>
      </c>
      <c r="G83" s="9" t="inlineStr">
        <is>
          <t>1. Save an SOP for patient Ramesh Kumar with a distinct reason.
2. Go to History &gt; SOP Documentation and locate the record.
3. (If accessible) open the patient's record in the Patients module to confirm linkage.</t>
        </is>
      </c>
      <c r="H83" s="9" t="inlineStr">
        <is>
          <t>Reason: 'Integrity-check 0601'</t>
        </is>
      </c>
      <c r="I83" s="9" t="inlineStr">
        <is>
          <t>The newly saved SOP appears in GET /api/exotel/sop/history for the current range with the correct patient name, staff and reason; the record is tied to the patient_id sent on save.</t>
        </is>
      </c>
      <c r="J83" s="9" t="inlineStr">
        <is>
          <t>POST /api/exotel/sop ; GET /api/exotel/sop/history</t>
        </is>
      </c>
      <c r="K83" s="11" t="inlineStr"/>
      <c r="L83" s="12" t="inlineStr">
        <is>
          <t>Not Executed</t>
        </is>
      </c>
      <c r="M83" s="12" t="inlineStr"/>
      <c r="N83" s="12" t="inlineStr"/>
      <c r="O83" s="12" t="inlineStr"/>
      <c r="P83" s="11" t="inlineStr"/>
    </row>
    <row r="84" ht="75" customHeight="1">
      <c r="A84" s="8" t="inlineStr">
        <is>
          <t>CL-083</t>
        </is>
      </c>
      <c r="B84" s="9" t="inlineStr">
        <is>
          <t>Data Integrity</t>
        </is>
      </c>
      <c r="C84" s="9" t="inlineStr">
        <is>
          <t>Removing a schedule item keeps it gone after a full page reload</t>
        </is>
      </c>
      <c r="D84" s="13" t="inlineStr">
        <is>
          <t>Medium</t>
        </is>
      </c>
      <c r="E84" s="9" t="inlineStr">
        <is>
          <t>Data Integrity</t>
        </is>
      </c>
      <c r="F84" s="9" t="inlineStr">
        <is>
          <t>Admin; &gt;=1 schedule record (CL-064 just removed one).</t>
        </is>
      </c>
      <c r="G84" s="9" t="inlineStr">
        <is>
          <t>1. Remove a schedule record on the Scheduler tab.
2. Hard-reload the page and return to the Scheduler tab.
3. Confirm the record is absent.</t>
        </is>
      </c>
      <c r="H84" s="9" t="inlineStr">
        <is>
          <t>N/A</t>
        </is>
      </c>
      <c r="I84" s="9" t="inlineStr">
        <is>
          <t>After DELETE and a fresh GET /api/exotel/scheduler the removed record does not reappear (deletion is persisted server-side), unlike the client-only Dismiss in CL-060.</t>
        </is>
      </c>
      <c r="J84" s="9" t="inlineStr">
        <is>
          <t>DELETE /api/exotel/scheduler/{schedule_id} ; GET /api/exotel/scheduler</t>
        </is>
      </c>
      <c r="K84" s="11" t="inlineStr"/>
      <c r="L84" s="12" t="inlineStr">
        <is>
          <t>Not Executed</t>
        </is>
      </c>
      <c r="M84" s="12" t="inlineStr"/>
      <c r="N84" s="12" t="inlineStr"/>
      <c r="O84" s="12" t="inlineStr"/>
      <c r="P84" s="11" t="inlineStr"/>
    </row>
    <row r="85" ht="105" customHeight="1">
      <c r="A85" s="8" t="inlineStr">
        <is>
          <t>CL-084</t>
        </is>
      </c>
      <c r="B85" s="9" t="inlineStr">
        <is>
          <t>Data Integrity</t>
        </is>
      </c>
      <c r="C85" s="9" t="inlineStr">
        <is>
          <t>Tab data is scoped/loaded only for the active tab</t>
        </is>
      </c>
      <c r="D85" s="19" t="inlineStr">
        <is>
          <t>Low</t>
        </is>
      </c>
      <c r="E85" s="9" t="inlineStr">
        <is>
          <t>Data Integrity</t>
        </is>
      </c>
      <c r="F85" s="9" t="inlineStr">
        <is>
          <t>Admin on /call-logs; Network tab open.</t>
        </is>
      </c>
      <c r="G85" s="9" t="inlineStr">
        <is>
          <t>1. Watch the Network tab while clicking through Dial -&gt; History -&gt; Escalated -&gt; Scheduler.
2. Confirm which fetches fire per tab.</t>
        </is>
      </c>
      <c r="H85" s="9" t="inlineStr">
        <is>
          <t>N/A</t>
        </is>
      </c>
      <c r="I85" s="9" t="inlineStr">
        <is>
          <t>Dial fetches patients + agents; History (calls sub-tab) fetches exotel/calls; History (docs sub-tab) fetches sop/history; Escalated fetches exotel/sop; Scheduler fetches exotel/scheduler. Inactive-tab fetches are guarded (return early) so they do not fire.</t>
        </is>
      </c>
      <c r="J85" s="9" t="inlineStr">
        <is>
          <t>Multiple (see endpoints table)</t>
        </is>
      </c>
      <c r="K85" s="11" t="inlineStr"/>
      <c r="L85" s="12" t="inlineStr">
        <is>
          <t>Not Executed</t>
        </is>
      </c>
      <c r="M85" s="12" t="inlineStr"/>
      <c r="N85" s="12" t="inlineStr"/>
      <c r="O85" s="12" t="inlineStr"/>
      <c r="P85" s="11" t="inlineStr"/>
    </row>
  </sheetData>
  <autoFilter ref="A1:P85"/>
  <conditionalFormatting sqref="L2:L8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Executed"</formula>
    </cfRule>
  </conditionalFormatting>
  <dataValidations count="2">
    <dataValidation sqref="L2:L85" showDropDown="0" showInputMessage="0" showErrorMessage="0" allowBlank="1" type="list">
      <formula1>"Not Executed,Pass,Fail,Blocked,N/A"</formula1>
    </dataValidation>
    <dataValidation sqref="M2:M85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2026-06-01T12:52:17Z</dcterms:created>
  <dcterms:modified xmlns:dcterms="http://purl.org/dc/terms/" xmlns:xsi="http://www.w3.org/2001/XMLSchema-instance" xsi:type="dcterms:W3CDTF">2026-06-01T12:52:17Z</dcterms:modified>
</cp:coreProperties>
</file>